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Fundamentals" sheetId="2" state="visible" r:id="rId2"/>
    <sheet name="Ad Data" sheetId="3" state="visible" r:id="rId3"/>
    <sheet name="KPI Calc" sheetId="4" state="visible" r:id="rId4"/>
    <sheet name="Dashboard" sheetId="5" state="visible" r:id="rId5"/>
    <sheet name="Ad Performance" sheetId="6" state="visible" r:id="rId6"/>
    <sheet name="Benchmarks" sheetId="7" state="visible" r:id="rId7"/>
    <sheet name="Health Check" sheetId="8" state="visible" r:id="rId8"/>
  </sheets>
  <definedNames>
    <definedName name="_xlnm._FilterDatabase" localSheetId="1" hidden="1">'Fundamentals'!$A$1:$K$181</definedName>
    <definedName name="_xlnm._FilterDatabase" localSheetId="2" hidden="1">'Ad Data'!$A$1:$K$1081</definedName>
  </definedNames>
  <calcPr calcId="124519" fullCalcOnLoad="1"/>
</workbook>
</file>

<file path=xl/styles.xml><?xml version="1.0" encoding="utf-8"?>
<styleSheet xmlns="http://schemas.openxmlformats.org/spreadsheetml/2006/main">
  <numFmts count="3">
    <numFmt numFmtId="164" formatCode="yyyy-mm-dd"/>
    <numFmt numFmtId="165" formatCode="#,##0.00&quot; EGP&quot;"/>
    <numFmt numFmtId="166" formatCode="0.000&quot;x&quot;"/>
  </numFmts>
  <fonts count="26">
    <font>
      <name val="Calibri"/>
      <family val="2"/>
      <color theme="1"/>
      <sz val="11"/>
      <scheme val="minor"/>
    </font>
    <font>
      <name val="Inter"/>
      <b val="1"/>
      <color rgb="00111827"/>
      <sz val="18"/>
    </font>
    <font>
      <name val="Inter"/>
      <i val="1"/>
      <color rgb="006B7280"/>
      <sz val="10"/>
    </font>
    <font>
      <name val="Inter"/>
      <b val="1"/>
      <color rgb="00FFFFFF"/>
      <sz val="10.5"/>
    </font>
    <font>
      <name val="Inter"/>
      <b val="1"/>
      <color rgb="00111827"/>
      <sz val="10"/>
    </font>
    <font>
      <name val="Inter"/>
      <b val="1"/>
      <color rgb="00C2410C"/>
      <sz val="10"/>
    </font>
    <font>
      <name val="Inter"/>
      <b val="1"/>
      <color rgb="00F97316"/>
      <sz val="13"/>
    </font>
    <font>
      <name val="Inter"/>
      <color rgb="006B7280"/>
      <sz val="9"/>
    </font>
    <font>
      <name val="Consolas"/>
      <color rgb="00111827"/>
      <sz val="8.5"/>
    </font>
    <font>
      <name val="Consolas"/>
      <color rgb="00374151"/>
      <sz val="8.5"/>
    </font>
    <font>
      <name val="Inter"/>
      <b val="1"/>
      <color rgb="00FFFFFF"/>
      <sz val="9.5"/>
    </font>
    <font>
      <name val="Inter"/>
      <b val="1"/>
      <color rgb="00111827"/>
      <sz val="9.5"/>
    </font>
    <font>
      <name val="Inter"/>
      <b val="1"/>
      <color rgb="00C2410C"/>
      <sz val="9"/>
    </font>
    <font>
      <name val="Inter"/>
      <color rgb="006B7280"/>
      <sz val="8"/>
    </font>
    <font>
      <name val="Inter"/>
      <b val="1"/>
      <color rgb="00111827"/>
      <sz val="16"/>
    </font>
    <font>
      <name val="Inter"/>
      <i val="1"/>
      <color rgb="006B7280"/>
      <sz val="9.5"/>
    </font>
    <font>
      <name val="Inter"/>
      <color rgb="00374151"/>
      <sz val="9.5"/>
    </font>
    <font>
      <name val="Inter"/>
      <color rgb="00374151"/>
      <sz val="10"/>
    </font>
    <font>
      <name val="Inter"/>
      <b val="1"/>
      <color rgb="00111827"/>
      <sz val="9"/>
    </font>
    <font>
      <name val="Inter"/>
      <color rgb="006B7280"/>
      <sz val="8.5"/>
    </font>
    <font>
      <name val="Inter"/>
      <b val="1"/>
      <color rgb="00111827"/>
      <sz val="20"/>
    </font>
    <font>
      <name val="Inter"/>
      <b val="1"/>
      <color rgb="00111827"/>
      <sz val="17"/>
    </font>
    <font>
      <name val="Inter"/>
      <color rgb="00C2410C"/>
      <sz val="9"/>
    </font>
    <font>
      <name val="Inter"/>
      <color rgb="006B7280"/>
      <sz val="9.5"/>
    </font>
    <font>
      <name val="Inter"/>
      <b val="1"/>
      <color rgb="00B91C1C"/>
      <sz val="9"/>
    </font>
    <font>
      <name val="Inter"/>
      <b val="1"/>
      <color rgb="00111827"/>
      <sz val="11"/>
    </font>
  </fonts>
  <fills count="7">
    <fill>
      <patternFill/>
    </fill>
    <fill>
      <patternFill patternType="gray125"/>
    </fill>
    <fill>
      <patternFill patternType="solid">
        <fgColor rgb="00111827"/>
      </patternFill>
    </fill>
    <fill>
      <patternFill patternType="solid">
        <fgColor rgb="00FFF7E6"/>
      </patternFill>
    </fill>
    <fill>
      <patternFill patternType="solid">
        <fgColor rgb="00F3F4F6"/>
      </patternFill>
    </fill>
    <fill>
      <patternFill patternType="solid">
        <fgColor rgb="00E5E7EB"/>
      </patternFill>
    </fill>
    <fill>
      <patternFill patternType="solid">
        <fgColor rgb="00FFF7ED"/>
      </patternFill>
    </fill>
  </fills>
  <borders count="2">
    <border>
      <left/>
      <right/>
      <top/>
      <bottom/>
      <diagonal/>
    </border>
    <border>
      <left style="thin">
        <color rgb="00F97316"/>
      </left>
      <right style="thin">
        <color rgb="00F97316"/>
      </right>
      <top style="thin">
        <color rgb="00F97316"/>
      </top>
      <bottom style="thin">
        <color rgb="00F97316"/>
      </bottom>
    </border>
  </borders>
  <cellStyleXfs count="1">
    <xf numFmtId="0" fontId="0" fillId="0" borderId="0"/>
  </cellStyleXfs>
  <cellXfs count="9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indent="1"/>
    </xf>
    <xf numFmtId="0" fontId="0" fillId="2" borderId="0" pivotButton="0" quotePrefix="0" xfId="0"/>
    <xf numFmtId="0" fontId="4" fillId="0" borderId="0" applyAlignment="1" pivotButton="0" quotePrefix="0" xfId="0">
      <alignment horizontal="left" vertical="center" indent="1"/>
    </xf>
    <xf numFmtId="0" fontId="5" fillId="3" borderId="1" applyAlignment="1" pivotButton="0" quotePrefix="0" xfId="0">
      <alignment horizontal="left" vertical="center" indent="1"/>
    </xf>
    <xf numFmtId="0" fontId="6" fillId="0" borderId="0" pivotButton="0" quotePrefix="0" xfId="0"/>
    <xf numFmtId="0" fontId="4" fillId="0" borderId="0" applyAlignment="1" pivotButton="0" quotePrefix="0" xfId="0">
      <alignment horizontal="left" vertical="top" wrapText="1"/>
    </xf>
    <xf numFmtId="0" fontId="7" fillId="0" borderId="0" applyAlignment="1" pivotButton="0" quotePrefix="0" xfId="0">
      <alignment horizontal="left" vertical="top" wrapText="1"/>
    </xf>
    <xf numFmtId="0" fontId="8" fillId="4" borderId="0" applyAlignment="1" pivotButton="0" quotePrefix="0" xfId="0">
      <alignment horizontal="left" vertical="top" wrapText="1"/>
    </xf>
    <xf numFmtId="0" fontId="7" fillId="0" borderId="0" applyAlignment="1" pivotButton="0" quotePrefix="0" xfId="0">
      <alignment horizontal="left" vertical="center" indent="1"/>
    </xf>
    <xf numFmtId="0" fontId="9" fillId="4" borderId="0" applyAlignment="1" pivotButton="0" quotePrefix="0" xfId="0">
      <alignment horizontal="left" vertical="top" wrapText="1"/>
    </xf>
    <xf numFmtId="164" fontId="10" fillId="2" borderId="0" applyAlignment="1" pivotButton="0" quotePrefix="0" xfId="0">
      <alignment horizontal="center" vertical="center"/>
    </xf>
    <xf numFmtId="0" fontId="10" fillId="2" borderId="0" applyAlignment="1" pivotButton="0" quotePrefix="0" xfId="0">
      <alignment horizontal="center" vertical="center"/>
    </xf>
    <xf numFmtId="165" fontId="10" fillId="2" borderId="0" applyAlignment="1" pivotButton="0" quotePrefix="0" xfId="0">
      <alignment horizontal="center" vertical="center"/>
    </xf>
    <xf numFmtId="3" fontId="10" fillId="2" borderId="0" applyAlignment="1" pivotButton="0" quotePrefix="0" xfId="0">
      <alignment horizontal="center" vertical="center"/>
    </xf>
    <xf numFmtId="0" fontId="11" fillId="0" borderId="0" applyAlignment="1" pivotButton="0" quotePrefix="0" xfId="0">
      <alignment horizontal="left" vertical="center" indent="1"/>
    </xf>
    <xf numFmtId="0" fontId="12" fillId="3" borderId="1" applyAlignment="1" pivotButton="0" quotePrefix="0" xfId="0">
      <alignment horizontal="left" vertical="center" indent="1"/>
    </xf>
    <xf numFmtId="164" fontId="0" fillId="0" borderId="0" pivotButton="0" quotePrefix="0" xfId="0"/>
    <xf numFmtId="165" fontId="0" fillId="0" borderId="0" pivotButton="0" quotePrefix="0" xfId="0"/>
    <xf numFmtId="3" fontId="0" fillId="0" borderId="0" pivotButton="0" quotePrefix="0" xfId="0"/>
    <xf numFmtId="0" fontId="13" fillId="0" borderId="0" applyAlignment="1" pivotButton="0" quotePrefix="0" xfId="0">
      <alignment horizontal="left" vertical="top" wrapText="1"/>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7" fillId="0" borderId="0" applyAlignment="1" pivotButton="0" quotePrefix="0" xfId="0">
      <alignment horizontal="left" vertical="center"/>
    </xf>
    <xf numFmtId="164" fontId="5" fillId="3" borderId="1" applyAlignment="1" pivotButton="0" quotePrefix="0" xfId="0">
      <alignment horizontal="center" vertical="center"/>
    </xf>
    <xf numFmtId="0" fontId="16" fillId="0" borderId="0" applyAlignment="1" pivotButton="0" quotePrefix="0" xfId="0">
      <alignment horizontal="left" vertical="center" indent="1"/>
    </xf>
    <xf numFmtId="10" fontId="5" fillId="3" borderId="1" applyAlignment="1" pivotButton="0" quotePrefix="0" xfId="0">
      <alignment horizontal="center" vertical="center"/>
    </xf>
    <xf numFmtId="165" fontId="5" fillId="3" borderId="1" applyAlignment="1" pivotButton="0" quotePrefix="0" xfId="0">
      <alignment horizontal="center" vertical="center"/>
    </xf>
    <xf numFmtId="0" fontId="11" fillId="5" borderId="0" applyAlignment="1" pivotButton="0" quotePrefix="0" xfId="0">
      <alignment horizontal="left" vertical="center" indent="1"/>
    </xf>
    <xf numFmtId="0" fontId="11" fillId="5" borderId="0" applyAlignment="1" pivotButton="0" quotePrefix="0" xfId="0">
      <alignment horizontal="center" vertical="center"/>
    </xf>
    <xf numFmtId="0" fontId="17" fillId="0" borderId="0" applyAlignment="1" pivotButton="0" quotePrefix="0" xfId="0">
      <alignment horizontal="left" vertical="center" indent="1"/>
    </xf>
    <xf numFmtId="165" fontId="4" fillId="0" borderId="0" applyAlignment="1" pivotButton="0" quotePrefix="0" xfId="0">
      <alignment horizontal="right" vertical="center"/>
    </xf>
    <xf numFmtId="165" fontId="11" fillId="0" borderId="0" applyAlignment="1" pivotButton="0" quotePrefix="0" xfId="0">
      <alignment horizontal="right" vertical="center"/>
    </xf>
    <xf numFmtId="10" fontId="11" fillId="0" borderId="0" applyAlignment="1" pivotButton="0" quotePrefix="0" xfId="0">
      <alignment horizontal="right" vertical="center"/>
    </xf>
    <xf numFmtId="0" fontId="18" fillId="0" borderId="0" applyAlignment="1" pivotButton="0" quotePrefix="0" xfId="0">
      <alignment horizontal="center" vertical="center"/>
    </xf>
    <xf numFmtId="0" fontId="19" fillId="0" borderId="0" applyAlignment="1" pivotButton="0" quotePrefix="0" xfId="0">
      <alignment horizontal="left" vertical="center" indent="1"/>
    </xf>
    <xf numFmtId="3" fontId="4" fillId="0" borderId="0" applyAlignment="1" pivotButton="0" quotePrefix="0" xfId="0">
      <alignment horizontal="right" vertical="center"/>
    </xf>
    <xf numFmtId="3" fontId="11" fillId="0" borderId="0" applyAlignment="1" pivotButton="0" quotePrefix="0" xfId="0">
      <alignment horizontal="right" vertical="center"/>
    </xf>
    <xf numFmtId="10" fontId="4" fillId="0" borderId="0" applyAlignment="1" pivotButton="0" quotePrefix="0" xfId="0">
      <alignment horizontal="right" vertical="center"/>
    </xf>
    <xf numFmtId="4" fontId="4" fillId="0" borderId="0" applyAlignment="1" pivotButton="0" quotePrefix="0" xfId="0">
      <alignment horizontal="right" vertical="center"/>
    </xf>
    <xf numFmtId="4" fontId="11" fillId="0" borderId="0" applyAlignment="1" pivotButton="0" quotePrefix="0" xfId="0">
      <alignment horizontal="right" vertical="center"/>
    </xf>
    <xf numFmtId="0" fontId="4" fillId="4" borderId="0" applyAlignment="1" pivotButton="0" quotePrefix="0" xfId="0">
      <alignment horizontal="left" vertical="center" indent="1"/>
    </xf>
    <xf numFmtId="166" fontId="5" fillId="4" borderId="0" applyAlignment="1" pivotButton="0" quotePrefix="0" xfId="0">
      <alignment horizontal="right" vertical="center"/>
    </xf>
    <xf numFmtId="166" fontId="11" fillId="4" borderId="0" applyAlignment="1" pivotButton="0" quotePrefix="0" xfId="0">
      <alignment horizontal="right" vertical="center"/>
    </xf>
    <xf numFmtId="10" fontId="11" fillId="4" borderId="0" applyAlignment="1" pivotButton="0" quotePrefix="0" xfId="0">
      <alignment horizontal="right" vertical="center"/>
    </xf>
    <xf numFmtId="0" fontId="18" fillId="4" borderId="0" applyAlignment="1" pivotButton="0" quotePrefix="0" xfId="0">
      <alignment horizontal="center" vertical="center"/>
    </xf>
    <xf numFmtId="0" fontId="19" fillId="4" borderId="0" applyAlignment="1" pivotButton="0" quotePrefix="0" xfId="0">
      <alignment horizontal="left" vertical="center" indent="1"/>
    </xf>
    <xf numFmtId="165" fontId="5" fillId="4" borderId="0" applyAlignment="1" pivotButton="0" quotePrefix="0" xfId="0">
      <alignment horizontal="right" vertical="center"/>
    </xf>
    <xf numFmtId="165" fontId="11" fillId="4" borderId="0" applyAlignment="1" pivotButton="0" quotePrefix="0" xfId="0">
      <alignment horizontal="right" vertical="center"/>
    </xf>
    <xf numFmtId="166" fontId="4" fillId="0" borderId="0" applyAlignment="1" pivotButton="0" quotePrefix="0" xfId="0">
      <alignment horizontal="right" vertical="center"/>
    </xf>
    <xf numFmtId="166" fontId="11" fillId="0" borderId="0" applyAlignment="1" pivotButton="0" quotePrefix="0" xfId="0">
      <alignment horizontal="right" vertical="center"/>
    </xf>
    <xf numFmtId="0" fontId="4" fillId="6" borderId="0" applyAlignment="1" pivotButton="0" quotePrefix="0" xfId="0">
      <alignment horizontal="left" vertical="center" wrapText="1" indent="1"/>
    </xf>
    <xf numFmtId="0" fontId="0" fillId="6" borderId="0" pivotButton="0" quotePrefix="0" xfId="0"/>
    <xf numFmtId="0" fontId="20" fillId="0" borderId="0" pivotButton="0" quotePrefix="0" xfId="0"/>
    <xf numFmtId="0" fontId="2" fillId="0" borderId="0" applyAlignment="1" pivotButton="0" quotePrefix="0" xfId="0">
      <alignment horizontal="left" vertical="center"/>
    </xf>
    <xf numFmtId="0" fontId="7" fillId="4" borderId="0" applyAlignment="1" pivotButton="0" quotePrefix="0" xfId="0">
      <alignment horizontal="left" vertical="bottom" indent="1"/>
    </xf>
    <xf numFmtId="0" fontId="0" fillId="4" borderId="0" pivotButton="0" quotePrefix="0" xfId="0"/>
    <xf numFmtId="165" fontId="21" fillId="4" borderId="0" applyAlignment="1" pivotButton="0" quotePrefix="0" xfId="0">
      <alignment horizontal="left" vertical="center" indent="1"/>
    </xf>
    <xf numFmtId="166" fontId="21" fillId="4" borderId="0" applyAlignment="1" pivotButton="0" quotePrefix="0" xfId="0">
      <alignment horizontal="left" vertical="center" indent="1"/>
    </xf>
    <xf numFmtId="0" fontId="13" fillId="4" borderId="0" applyAlignment="1" pivotButton="0" quotePrefix="0" xfId="0">
      <alignment horizontal="left" vertical="top" indent="1"/>
    </xf>
    <xf numFmtId="3" fontId="21" fillId="4" borderId="0" applyAlignment="1" pivotButton="0" quotePrefix="0" xfId="0">
      <alignment horizontal="left" vertical="center" indent="1"/>
    </xf>
    <xf numFmtId="0" fontId="18" fillId="5" borderId="0" applyAlignment="1" pivotButton="0" quotePrefix="0" xfId="0">
      <alignment horizontal="left" vertical="center" indent="1"/>
    </xf>
    <xf numFmtId="0" fontId="18" fillId="5" borderId="0" applyAlignment="1" pivotButton="0" quotePrefix="0" xfId="0">
      <alignment horizontal="center" vertical="center"/>
    </xf>
    <xf numFmtId="165" fontId="4" fillId="0" borderId="0" applyAlignment="1" pivotButton="0" quotePrefix="0" xfId="0">
      <alignment horizontal="center" vertical="center"/>
    </xf>
    <xf numFmtId="166" fontId="4" fillId="0" borderId="0" applyAlignment="1" pivotButton="0" quotePrefix="0" xfId="0">
      <alignment horizontal="center" vertical="center"/>
    </xf>
    <xf numFmtId="3" fontId="4" fillId="0" borderId="0" applyAlignment="1" pivotButton="0" quotePrefix="0" xfId="0">
      <alignment horizontal="center" vertical="center"/>
    </xf>
    <xf numFmtId="10" fontId="4" fillId="0" borderId="0" applyAlignment="1" pivotButton="0" quotePrefix="0" xfId="0">
      <alignment horizontal="center" vertical="center"/>
    </xf>
    <xf numFmtId="0" fontId="22" fillId="0" borderId="0" applyAlignment="1" pivotButton="0" quotePrefix="0" xfId="0">
      <alignment horizontal="left" vertical="center" indent="1"/>
    </xf>
    <xf numFmtId="165" fontId="4" fillId="4" borderId="0" applyAlignment="1" pivotButton="0" quotePrefix="0" xfId="0">
      <alignment horizontal="center" vertical="center"/>
    </xf>
    <xf numFmtId="166" fontId="4" fillId="4" borderId="0" applyAlignment="1" pivotButton="0" quotePrefix="0" xfId="0">
      <alignment horizontal="center" vertical="center"/>
    </xf>
    <xf numFmtId="3" fontId="4" fillId="4" borderId="0" applyAlignment="1" pivotButton="0" quotePrefix="0" xfId="0">
      <alignment horizontal="center" vertical="center"/>
    </xf>
    <xf numFmtId="10" fontId="4" fillId="4" borderId="0" applyAlignment="1" pivotButton="0" quotePrefix="0" xfId="0">
      <alignment horizontal="center" vertical="center"/>
    </xf>
    <xf numFmtId="0" fontId="4" fillId="4" borderId="0" pivotButton="0" quotePrefix="0" xfId="0"/>
    <xf numFmtId="0" fontId="7" fillId="0" borderId="0" applyAlignment="1" pivotButton="0" quotePrefix="0" xfId="0">
      <alignment horizontal="center" vertical="center"/>
    </xf>
    <xf numFmtId="10" fontId="7" fillId="0" borderId="0" applyAlignment="1" pivotButton="0" quotePrefix="0" xfId="0">
      <alignment horizontal="center" vertical="center"/>
    </xf>
    <xf numFmtId="3" fontId="11" fillId="0" borderId="0" applyAlignment="1" pivotButton="0" quotePrefix="0" xfId="0">
      <alignment horizontal="center" vertical="center"/>
    </xf>
    <xf numFmtId="10" fontId="11" fillId="0" borderId="0" applyAlignment="1" pivotButton="0" quotePrefix="0" xfId="0">
      <alignment horizontal="center" vertical="center"/>
    </xf>
    <xf numFmtId="0" fontId="13" fillId="0" borderId="0" applyAlignment="1" pivotButton="0" quotePrefix="0" xfId="0">
      <alignment horizontal="left" vertical="center" indent="1"/>
    </xf>
    <xf numFmtId="0" fontId="16" fillId="6" borderId="0" applyAlignment="1" pivotButton="0" quotePrefix="0" xfId="0">
      <alignment horizontal="left" vertical="center" wrapText="1" indent="1"/>
    </xf>
    <xf numFmtId="0" fontId="23" fillId="0" borderId="0" applyAlignment="1" pivotButton="0" quotePrefix="0" xfId="0">
      <alignment horizontal="center" vertical="center"/>
    </xf>
    <xf numFmtId="165" fontId="11" fillId="0" borderId="0" applyAlignment="1" pivotButton="0" quotePrefix="0" xfId="0">
      <alignment horizontal="center" vertical="center"/>
    </xf>
    <xf numFmtId="0" fontId="24" fillId="0" borderId="0" applyAlignment="1" pivotButton="0" quotePrefix="0" xfId="0">
      <alignment horizontal="left" vertical="top" wrapText="1"/>
    </xf>
    <xf numFmtId="165" fontId="7" fillId="0" borderId="0" applyAlignment="1" pivotButton="0" quotePrefix="0" xfId="0">
      <alignment horizontal="center" vertical="center"/>
    </xf>
    <xf numFmtId="4" fontId="4" fillId="0" borderId="0" applyAlignment="1" pivotButton="0" quotePrefix="0" xfId="0">
      <alignment horizontal="center" vertical="center"/>
    </xf>
    <xf numFmtId="4" fontId="7" fillId="0" borderId="0" applyAlignment="1" pivotButton="0" quotePrefix="0" xfId="0">
      <alignment horizontal="center" vertical="center"/>
    </xf>
    <xf numFmtId="166" fontId="7" fillId="0" borderId="0" applyAlignment="1" pivotButton="0" quotePrefix="0" xfId="0">
      <alignment horizontal="center" vertical="center"/>
    </xf>
    <xf numFmtId="0" fontId="4" fillId="0" borderId="0" pivotButton="0" quotePrefix="0" xfId="0"/>
    <xf numFmtId="0" fontId="7" fillId="0" borderId="0" pivotButton="0" quotePrefix="0" xfId="0"/>
    <xf numFmtId="0" fontId="11" fillId="0" borderId="0" applyAlignment="1" pivotButton="0" quotePrefix="0" xfId="0">
      <alignment horizontal="left" vertical="top" wrapText="1"/>
    </xf>
    <xf numFmtId="164" fontId="4" fillId="0" borderId="0" applyAlignment="1" pivotButton="0" quotePrefix="0" xfId="0">
      <alignment horizontal="center" vertical="center"/>
    </xf>
    <xf numFmtId="0" fontId="11" fillId="0" borderId="0" applyAlignment="1" pivotButton="0" quotePrefix="0" xfId="0">
      <alignment horizontal="center" vertical="center"/>
    </xf>
    <xf numFmtId="0" fontId="25" fillId="4" borderId="0" applyAlignment="1" pivotButton="0" quotePrefix="0" xfId="0">
      <alignment horizontal="left" vertical="center" wrapText="1" indent="1"/>
    </xf>
  </cellXfs>
  <cellStyles count="1">
    <cellStyle name="Normal" xfId="0" builtinId="0" hidden="0"/>
  </cellStyles>
  <dxfs count="9">
    <dxf>
      <font>
        <name val="Inter"/>
        <color rgb="00B91C1C"/>
        <sz val="9.5"/>
      </font>
    </dxf>
    <dxf>
      <font>
        <name val="Inter"/>
        <color rgb="0015803D"/>
        <sz val="9.5"/>
      </font>
    </dxf>
    <dxf>
      <font>
        <name val="Inter"/>
        <b val="1"/>
        <color rgb="00B91C1C"/>
        <sz val="9"/>
      </font>
      <fill>
        <patternFill patternType="solid">
          <fgColor rgb="00FEE2E2"/>
        </patternFill>
      </fill>
    </dxf>
    <dxf>
      <font>
        <name val="Inter"/>
        <b val="1"/>
        <color rgb="0015803D"/>
        <sz val="9"/>
      </font>
      <fill>
        <patternFill patternType="solid">
          <fgColor rgb="00DCFCE7"/>
        </patternFill>
      </fill>
    </dxf>
    <dxf>
      <font>
        <name val="Inter"/>
        <b val="1"/>
        <color rgb="00B45309"/>
        <sz val="9"/>
      </font>
      <fill>
        <patternFill patternType="solid">
          <fgColor rgb="00FEF3C7"/>
        </patternFill>
      </fill>
    </dxf>
    <dxf>
      <font>
        <name val="Inter"/>
        <b val="1"/>
        <color rgb="001D4ED8"/>
        <sz val="9"/>
      </font>
      <fill>
        <patternFill patternType="solid">
          <fgColor rgb="00DBEAFE"/>
        </patternFill>
      </fill>
    </dxf>
    <dxf>
      <font>
        <name val="Inter"/>
        <b val="1"/>
        <color rgb="00B91C1C"/>
        <sz val="9.5"/>
      </font>
      <fill>
        <patternFill patternType="solid">
          <fgColor rgb="00FEE2E2"/>
        </patternFill>
      </fill>
    </dxf>
    <dxf>
      <font>
        <name val="Inter"/>
        <b val="1"/>
        <color rgb="00B45309"/>
        <sz val="9.5"/>
      </font>
      <fill>
        <patternFill patternType="solid">
          <fgColor rgb="00FEF3C7"/>
        </patternFill>
      </fill>
    </dxf>
    <dxf>
      <font>
        <name val="Inter"/>
        <b val="1"/>
        <color rgb="0015803D"/>
        <sz val="9.5"/>
      </font>
      <fill>
        <patternFill patternType="solid">
          <fgColor rgb="00DCFC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33"/>
  <sheetViews>
    <sheetView showGridLines="0" workbookViewId="0">
      <selection activeCell="A1" sqref="A1"/>
    </sheetView>
  </sheetViews>
  <sheetFormatPr baseColWidth="8" defaultRowHeight="15"/>
  <cols>
    <col width="3" customWidth="1" min="1" max="1"/>
    <col width="30" customWidth="1" min="2" max="2"/>
    <col width="100" customWidth="1" min="3" max="3"/>
    <col width="3" customWidth="1" min="4" max="4"/>
  </cols>
  <sheetData>
    <row r="2">
      <c r="B2" s="1" t="inlineStr">
        <is>
          <t>Client Reporting Dashboard</t>
        </is>
      </c>
    </row>
    <row r="3">
      <c r="B3" s="2" t="inlineStr">
        <is>
          <t>The live view. Set four cells, get the whole picture.</t>
        </is>
      </c>
    </row>
    <row r="5" ht="22" customHeight="1">
      <c r="B5" s="3" t="inlineStr">
        <is>
          <t xml:space="preserve">  IDENTITY  —  these feed the titles on the Dashboard</t>
        </is>
      </c>
      <c r="C5" s="4" t="n"/>
    </row>
    <row r="6">
      <c r="B6" s="5" t="inlineStr">
        <is>
          <t>Client / brand name</t>
        </is>
      </c>
      <c r="C6" s="6" t="inlineStr">
        <is>
          <t>Northwind Supply Co.</t>
        </is>
      </c>
    </row>
    <row r="7">
      <c r="B7" s="5" t="inlineStr">
        <is>
          <t>Prepared by</t>
        </is>
      </c>
      <c r="C7" s="6" t="inlineStr">
        <is>
          <t>Your Agency Name</t>
        </is>
      </c>
    </row>
    <row r="8">
      <c r="B8" s="5" t="inlineStr">
        <is>
          <t>Currency code</t>
        </is>
      </c>
      <c r="C8" s="6" t="inlineStr">
        <is>
          <t>EGP</t>
        </is>
      </c>
    </row>
    <row r="10" ht="22" customHeight="1">
      <c r="B10" s="3" t="inlineStr">
        <is>
          <t xml:space="preserve">  HOW TO USE IT</t>
        </is>
      </c>
      <c r="C10" s="4" t="n"/>
    </row>
    <row r="11" ht="15" customHeight="1">
      <c r="B11" s="7" t="inlineStr">
        <is>
          <t>1</t>
        </is>
      </c>
      <c r="C11" s="8" t="inlineStr">
        <is>
          <t>Set the period</t>
        </is>
      </c>
    </row>
    <row r="12" ht="28" customHeight="1">
      <c r="C12" s="9" t="inlineStr">
        <is>
          <t>Open KPI Calc. In row 4 put the period you're reporting. In row 5 put what you're comparing it to. Everything else moves.</t>
        </is>
      </c>
    </row>
    <row r="13" ht="15" customHeight="1">
      <c r="B13" s="7" t="inlineStr">
        <is>
          <t>2</t>
        </is>
      </c>
      <c r="C13" s="8" t="inlineStr">
        <is>
          <t>Fill the business inputs</t>
        </is>
      </c>
    </row>
    <row r="14" ht="28" customHeight="1">
      <c r="C14" s="9" t="inlineStr">
        <is>
          <t>KPI Calc, cells J5:J7 — COGS %, other variable cost %, and shipping per order. Without these the dashboard can show revenue but not profit.</t>
        </is>
      </c>
    </row>
    <row r="15" ht="15" customHeight="1">
      <c r="B15" s="7" t="inlineStr">
        <is>
          <t>3</t>
        </is>
      </c>
      <c r="C15" s="8" t="inlineStr">
        <is>
          <t>Feed the data</t>
        </is>
      </c>
    </row>
    <row r="16" ht="28" customHeight="1">
      <c r="C16" s="9" t="inlineStr">
        <is>
          <t>Paste into Fundamentals (account level) and Ad Data (ad level). Column order matters — don't insert or reorder columns. See 'Link the Automation' below to skip the pasting entirely.</t>
        </is>
      </c>
    </row>
    <row r="17" ht="15" customHeight="1">
      <c r="B17" s="7" t="inlineStr">
        <is>
          <t>4</t>
        </is>
      </c>
      <c r="C17" s="8" t="inlineStr">
        <is>
          <t>Read the Dashboard</t>
        </is>
      </c>
    </row>
    <row r="18" ht="28" customHeight="1">
      <c r="C18" s="9" t="inlineStr">
        <is>
          <t>That tab is the client-facing view. Tiles, platform split, funnel, and auto-written commentary you can paste straight into an email.</t>
        </is>
      </c>
    </row>
    <row r="19" ht="15" customHeight="1">
      <c r="B19" s="7" t="inlineStr">
        <is>
          <t>5</t>
        </is>
      </c>
      <c r="C19" s="8" t="inlineStr">
        <is>
          <t>Check Health Check first</t>
        </is>
      </c>
    </row>
    <row r="20" ht="28" customHeight="1">
      <c r="C20" s="9" t="inlineStr">
        <is>
          <t>Before anything goes to a client. It proves the ad-level data reconciles to the account-level data and flags impossible numbers.</t>
        </is>
      </c>
    </row>
    <row r="21" ht="15" customHeight="1">
      <c r="B21" s="7" t="inlineStr">
        <is>
          <t>6</t>
        </is>
      </c>
      <c r="C21" s="8" t="inlineStr">
        <is>
          <t>Retune Benchmarks</t>
        </is>
      </c>
    </row>
    <row r="22" ht="28" customHeight="1">
      <c r="C22" s="9" t="inlineStr">
        <is>
          <t>The status column is only as good as the thresholds. Put this client's own trailing 90-day numbers in after month two.</t>
        </is>
      </c>
    </row>
    <row r="24" ht="22" customHeight="1">
      <c r="B24" s="3" t="inlineStr">
        <is>
          <t xml:space="preserve">  LINK THE AUTOMATION  —  if you run the n8n Ads Reporting System</t>
        </is>
      </c>
      <c r="C24" s="4" t="n"/>
    </row>
    <row r="25" ht="30" customHeight="1">
      <c r="B25" s="5" t="inlineStr">
        <is>
          <t>Why this is optional</t>
        </is>
      </c>
      <c r="C25" s="9" t="inlineStr">
        <is>
          <t>This kit works entirely by hand. But if you already run the automated pipeline, the Raw Data sheet is the single source of truth — and the dashboard can read straight from it, so you never paste anything.</t>
        </is>
      </c>
    </row>
    <row r="26" ht="28" customHeight="1">
      <c r="B26" s="5" t="inlineStr">
        <is>
          <t>Step 1</t>
        </is>
      </c>
      <c r="C26" s="9" t="inlineStr">
        <is>
          <t>On the 'Fundamentals' tab, put your Raw Data sheet ID in cell N1. (It's the long string in the Raw sheet's URL between /d/ and /edit.) Then delete the sample rows 2 onward.</t>
        </is>
      </c>
    </row>
    <row r="27" ht="30" customHeight="1">
      <c r="B27" s="5" t="inlineStr">
        <is>
          <t>Step 2</t>
        </is>
      </c>
      <c r="C27" s="9" t="inlineStr">
        <is>
          <t>Paste this into Fundamentals!A2 — one formula, and the whole tab fills itself from the pipeline. It stacks the four raw tabs, keeps the columns this kit needs, and labels each platform. Approve the IMPORTRANGE access prompt the first time.</t>
        </is>
      </c>
    </row>
    <row r="28" ht="84" customHeight="1">
      <c r="B28" s="5" t="inlineStr">
        <is>
          <t>Formula</t>
        </is>
      </c>
      <c r="C28" s="10">
        <f>LET(
  m, QUERY(IMPORTRANGE($N$1,"'Daily_Raw_Meta'!A2:P"),"select * where Col1 is not null",0),
  t, QUERY(IMPORTRANGE($N$1,"'Daily_Raw_TikTok'!A2:R"),"select * where Col1 is not null",0),
  VSTACK(
    {"Date","Platform","Spend","Impressions","Reach","Clicks","Landing Page Views","Add to Cart","Initiate Checkout","Purchases","Revenue"},
    HSTACK(CHOOSECOLS(m,1),IF(CHOOSECOLS(m,1)&lt;&gt;"","Meta",""),CHOOSECOLS(m,2,3,4,7),IF(CHOOSECOLS(m,1)&lt;&gt;"","",""),CHOOSECOLS(m,9,10,11,12)),
    HSTACK(CHOOSECOLS(t,1),IF(CHOOSECOLS(t,1)&lt;&gt;"","TikTok",""),CHOOSECOLS(t,2,3,4,6),IF(CHOOSECOLS(t,1)&lt;&gt;"","",""),CHOOSECOLS(t,11,12,13,14))
  )
)</f>
        <v/>
      </c>
    </row>
    <row r="29" ht="40" customHeight="1">
      <c r="B29" s="11" t="inlineStr">
        <is>
          <t>Note</t>
        </is>
      </c>
      <c r="C29" s="9" t="inlineStr">
        <is>
          <t>Google Sheets only — IMPORTRANGE does not exist in Excel, even Excel 365. In Excel, use Power Query against the sheet instead, or just paste. Use this formula on ONE line: Sheets accepts the line breaks, but if you paste from a PDF or chat window they can turn into characters that break it, so delete any line break that isn't a real newline.</t>
        </is>
      </c>
    </row>
    <row r="30" ht="40" customHeight="1">
      <c r="B30" s="11" t="inlineStr">
        <is>
          <t>Column mapping</t>
        </is>
      </c>
      <c r="C30" s="9" t="inlineStr">
        <is>
          <t>Daily_Raw_Meta (A:P) gives Date, Spend, Impressions, Reach, Clicks, Adds_to_Cart, Initiate_Checkout, Purchases, Purchases_Value. Daily_Raw_TikTok (A:R) gives the same, one column apart. The formula maps them explicitly, so if your template ever gains a column, the mapping is the thing to re-check — not the whole dashboard.</t>
        </is>
      </c>
    </row>
    <row r="31" ht="44" customHeight="1">
      <c r="B31" s="11" t="inlineStr">
        <is>
          <t>About landing page views</t>
        </is>
      </c>
      <c r="C31" s="9" t="inlineStr">
        <is>
          <t>Landing Page Views are left blank by the formula above, on purpose. Meta only reports LPV at AD level, not account level, and TikTok does not report it at all. If you want the Meta click-to-landing-page rate, put this in Fundamentals!G2 instead of the blank column — it sums Daily_Raw_Meta_Ads by date:</t>
        </is>
      </c>
    </row>
    <row r="32" ht="44" customHeight="1">
      <c r="B32" s="11" t="inlineStr">
        <is>
          <t>LPV formula</t>
        </is>
      </c>
      <c r="C32" s="12">
        <f>ARRAYFORMULA(IF($A$2:$A="","",
  SUMIF(IMPORTRANGE($N$1,"'Daily_Raw_Meta_Ads'!A$2:A"),$A$2:$A,
        IMPORTRANGE($N$1,"'Daily_Raw_Meta_Ads'!N$2:N"))))</f>
        <v/>
      </c>
    </row>
    <row r="33" ht="44" customHeight="1">
      <c r="B33" s="11" t="inlineStr">
        <is>
          <t>If the numbers look wrong</t>
        </is>
      </c>
      <c r="C33" s="9" t="inlineStr">
        <is>
          <t>Two things cause almost every problem. (1) Column A must be a real date, not text — select it and check Format ▸ Number ▸ Date shows something sensible. If it is text, the date filters silently return zero. (2) You must approve the IMPORTRANGE access prompt — the first paste shows a #REF! and a button, and it only works after you click Allow. Run Health Check afterwards: it reports the row count and first/last date, which tells you immediately whether the link worked.</t>
        </is>
      </c>
    </row>
  </sheetData>
  <mergeCells count="3">
    <mergeCell ref="B24:C24"/>
    <mergeCell ref="B5:C5"/>
    <mergeCell ref="B10:C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81"/>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3" customWidth="1" min="3" max="3"/>
    <col width="13" customWidth="1" min="4" max="4"/>
    <col width="12" customWidth="1" min="5" max="5"/>
    <col width="11" customWidth="1" min="6" max="6"/>
    <col width="18" customWidth="1" min="7" max="7"/>
    <col width="12" customWidth="1" min="8" max="8"/>
    <col width="16" customWidth="1" min="9" max="9"/>
    <col width="11" customWidth="1" min="10" max="10"/>
    <col width="14" customWidth="1" min="11" max="11"/>
    <col width="34" customWidth="1" min="13" max="13"/>
    <col width="46" customWidth="1" min="14" max="14"/>
  </cols>
  <sheetData>
    <row r="1" ht="26" customHeight="1">
      <c r="A1" s="13" t="inlineStr">
        <is>
          <t>Date</t>
        </is>
      </c>
      <c r="B1" s="14" t="inlineStr">
        <is>
          <t>Platform</t>
        </is>
      </c>
      <c r="C1" s="15" t="inlineStr">
        <is>
          <t>Spend</t>
        </is>
      </c>
      <c r="D1" s="16" t="inlineStr">
        <is>
          <t>Impressions</t>
        </is>
      </c>
      <c r="E1" s="16" t="inlineStr">
        <is>
          <t>Reach</t>
        </is>
      </c>
      <c r="F1" s="16" t="inlineStr">
        <is>
          <t>Clicks</t>
        </is>
      </c>
      <c r="G1" s="16" t="inlineStr">
        <is>
          <t>Landing Page Views</t>
        </is>
      </c>
      <c r="H1" s="16" t="inlineStr">
        <is>
          <t>Add to Cart</t>
        </is>
      </c>
      <c r="I1" s="16" t="inlineStr">
        <is>
          <t>Initiate Checkout</t>
        </is>
      </c>
      <c r="J1" s="16" t="inlineStr">
        <is>
          <t>Purchases</t>
        </is>
      </c>
      <c r="K1" s="15" t="inlineStr">
        <is>
          <t>Revenue</t>
        </is>
      </c>
      <c r="M1" s="17" t="inlineStr">
        <is>
          <t>Raw Data sheet ID  →</t>
        </is>
      </c>
      <c r="N1" s="18" t="inlineStr"/>
    </row>
    <row r="2">
      <c r="A2" s="19" t="n">
        <v>46218</v>
      </c>
      <c r="B2" t="inlineStr">
        <is>
          <t>Meta</t>
        </is>
      </c>
      <c r="C2" s="20" t="n">
        <v>3198.66</v>
      </c>
      <c r="D2" s="21" t="n">
        <v>53223</v>
      </c>
      <c r="E2" s="21" t="n">
        <v>20445</v>
      </c>
      <c r="F2" s="21" t="n">
        <v>952</v>
      </c>
      <c r="G2" s="21" t="n">
        <v>691</v>
      </c>
      <c r="H2" s="21" t="n">
        <v>50</v>
      </c>
      <c r="I2" s="21" t="n">
        <v>23</v>
      </c>
      <c r="J2" s="21" t="n">
        <v>18</v>
      </c>
      <c r="K2" s="20" t="n">
        <v>12332.42</v>
      </c>
      <c r="M2" s="22" t="inlineStr">
        <is>
          <t>Paste it here if you want to pull straight from the n8n pipeline (see 'Start Here'). Otherwise ignore this cell.</t>
        </is>
      </c>
    </row>
    <row r="3">
      <c r="A3" s="19" t="n">
        <v>46218</v>
      </c>
      <c r="B3" t="inlineStr">
        <is>
          <t>TikTok</t>
        </is>
      </c>
      <c r="C3" s="20" t="n">
        <v>1545</v>
      </c>
      <c r="D3" s="21" t="n">
        <v>36031</v>
      </c>
      <c r="E3" s="21" t="n">
        <v>16462</v>
      </c>
      <c r="F3" s="21" t="n">
        <v>371</v>
      </c>
      <c r="G3" s="21" t="inlineStr"/>
      <c r="H3" s="21" t="n">
        <v>22</v>
      </c>
      <c r="I3" s="21" t="n">
        <v>10</v>
      </c>
      <c r="J3" s="21" t="n">
        <v>7</v>
      </c>
      <c r="K3" s="20" t="n">
        <v>3991.45</v>
      </c>
    </row>
    <row r="4">
      <c r="A4" s="19" t="n">
        <v>46219</v>
      </c>
      <c r="B4" t="inlineStr">
        <is>
          <t>Meta</t>
        </is>
      </c>
      <c r="C4" s="20" t="n">
        <v>3161.31</v>
      </c>
      <c r="D4" s="21" t="n">
        <v>52769</v>
      </c>
      <c r="E4" s="21" t="n">
        <v>23334</v>
      </c>
      <c r="F4" s="21" t="n">
        <v>905</v>
      </c>
      <c r="G4" s="21" t="n">
        <v>621</v>
      </c>
      <c r="H4" s="21" t="n">
        <v>48</v>
      </c>
      <c r="I4" s="21" t="n">
        <v>21</v>
      </c>
      <c r="J4" s="21" t="n">
        <v>16</v>
      </c>
      <c r="K4" s="20" t="n">
        <v>11234.68</v>
      </c>
    </row>
    <row r="5">
      <c r="A5" s="19" t="n">
        <v>46219</v>
      </c>
      <c r="B5" t="inlineStr">
        <is>
          <t>TikTok</t>
        </is>
      </c>
      <c r="C5" s="20" t="n">
        <v>1455.37</v>
      </c>
      <c r="D5" s="21" t="n">
        <v>35728</v>
      </c>
      <c r="E5" s="21" t="n">
        <v>17252</v>
      </c>
      <c r="F5" s="21" t="n">
        <v>450</v>
      </c>
      <c r="G5" s="21" t="inlineStr"/>
      <c r="H5" s="21" t="n">
        <v>29</v>
      </c>
      <c r="I5" s="21" t="n">
        <v>14</v>
      </c>
      <c r="J5" s="21" t="n">
        <v>9</v>
      </c>
      <c r="K5" s="20" t="n">
        <v>5543.14</v>
      </c>
    </row>
    <row r="6">
      <c r="A6" s="19" t="n">
        <v>46220</v>
      </c>
      <c r="B6" t="inlineStr">
        <is>
          <t>Meta</t>
        </is>
      </c>
      <c r="C6" s="20" t="n">
        <v>3507.27</v>
      </c>
      <c r="D6" s="21" t="n">
        <v>54057</v>
      </c>
      <c r="E6" s="21" t="n">
        <v>25800</v>
      </c>
      <c r="F6" s="21" t="n">
        <v>928</v>
      </c>
      <c r="G6" s="21" t="n">
        <v>671</v>
      </c>
      <c r="H6" s="21" t="n">
        <v>54</v>
      </c>
      <c r="I6" s="21" t="n">
        <v>26</v>
      </c>
      <c r="J6" s="21" t="n">
        <v>21</v>
      </c>
      <c r="K6" s="20" t="n">
        <v>13679.4</v>
      </c>
    </row>
    <row r="7">
      <c r="A7" s="19" t="n">
        <v>46220</v>
      </c>
      <c r="B7" t="inlineStr">
        <is>
          <t>TikTok</t>
        </is>
      </c>
      <c r="C7" s="20" t="n">
        <v>1670.76</v>
      </c>
      <c r="D7" s="21" t="n">
        <v>42798</v>
      </c>
      <c r="E7" s="21" t="n">
        <v>18687</v>
      </c>
      <c r="F7" s="21" t="n">
        <v>531</v>
      </c>
      <c r="G7" s="21" t="inlineStr"/>
      <c r="H7" s="21" t="n">
        <v>30</v>
      </c>
      <c r="I7" s="21" t="n">
        <v>14</v>
      </c>
      <c r="J7" s="21" t="n">
        <v>9</v>
      </c>
      <c r="K7" s="20" t="n">
        <v>6079.58</v>
      </c>
    </row>
    <row r="8">
      <c r="A8" s="19" t="n">
        <v>46221</v>
      </c>
      <c r="B8" t="inlineStr">
        <is>
          <t>Meta</t>
        </is>
      </c>
      <c r="C8" s="20" t="n">
        <v>3469.98</v>
      </c>
      <c r="D8" s="21" t="n">
        <v>53247</v>
      </c>
      <c r="E8" s="21" t="n">
        <v>20932</v>
      </c>
      <c r="F8" s="21" t="n">
        <v>962</v>
      </c>
      <c r="G8" s="21" t="n">
        <v>682</v>
      </c>
      <c r="H8" s="21" t="n">
        <v>45</v>
      </c>
      <c r="I8" s="21" t="n">
        <v>23</v>
      </c>
      <c r="J8" s="21" t="n">
        <v>18</v>
      </c>
      <c r="K8" s="20" t="n">
        <v>11932.58</v>
      </c>
    </row>
    <row r="9">
      <c r="A9" s="19" t="n">
        <v>46221</v>
      </c>
      <c r="B9" t="inlineStr">
        <is>
          <t>TikTok</t>
        </is>
      </c>
      <c r="C9" s="20" t="n">
        <v>1881.23</v>
      </c>
      <c r="D9" s="21" t="n">
        <v>42912</v>
      </c>
      <c r="E9" s="21" t="n">
        <v>23740</v>
      </c>
      <c r="F9" s="21" t="n">
        <v>436</v>
      </c>
      <c r="G9" s="21" t="inlineStr"/>
      <c r="H9" s="21" t="n">
        <v>27</v>
      </c>
      <c r="I9" s="21" t="n">
        <v>11</v>
      </c>
      <c r="J9" s="21" t="n">
        <v>7</v>
      </c>
      <c r="K9" s="20" t="n">
        <v>4353.79</v>
      </c>
    </row>
    <row r="10">
      <c r="A10" s="19" t="n">
        <v>46222</v>
      </c>
      <c r="B10" t="inlineStr">
        <is>
          <t>Meta</t>
        </is>
      </c>
      <c r="C10" s="20" t="n">
        <v>3490.23</v>
      </c>
      <c r="D10" s="21" t="n">
        <v>56059</v>
      </c>
      <c r="E10" s="21" t="n">
        <v>21828</v>
      </c>
      <c r="F10" s="21" t="n">
        <v>828</v>
      </c>
      <c r="G10" s="21" t="n">
        <v>638</v>
      </c>
      <c r="H10" s="21" t="n">
        <v>49</v>
      </c>
      <c r="I10" s="21" t="n">
        <v>24</v>
      </c>
      <c r="J10" s="21" t="n">
        <v>18</v>
      </c>
      <c r="K10" s="20" t="n">
        <v>12906.18</v>
      </c>
    </row>
    <row r="11">
      <c r="A11" s="19" t="n">
        <v>46222</v>
      </c>
      <c r="B11" t="inlineStr">
        <is>
          <t>TikTok</t>
        </is>
      </c>
      <c r="C11" s="20" t="n">
        <v>1438.27</v>
      </c>
      <c r="D11" s="21" t="n">
        <v>34811</v>
      </c>
      <c r="E11" s="21" t="n">
        <v>20074</v>
      </c>
      <c r="F11" s="21" t="n">
        <v>447</v>
      </c>
      <c r="G11" s="21" t="inlineStr"/>
      <c r="H11" s="21" t="n">
        <v>31</v>
      </c>
      <c r="I11" s="21" t="n">
        <v>14</v>
      </c>
      <c r="J11" s="21" t="n">
        <v>9</v>
      </c>
      <c r="K11" s="20" t="n">
        <v>5741.4</v>
      </c>
    </row>
    <row r="12">
      <c r="A12" s="19" t="n">
        <v>46223</v>
      </c>
      <c r="B12" t="inlineStr">
        <is>
          <t>Meta</t>
        </is>
      </c>
      <c r="C12" s="20" t="n">
        <v>3327.28</v>
      </c>
      <c r="D12" s="21" t="n">
        <v>50478</v>
      </c>
      <c r="E12" s="21" t="n">
        <v>21302</v>
      </c>
      <c r="F12" s="21" t="n">
        <v>774</v>
      </c>
      <c r="G12" s="21" t="n">
        <v>581</v>
      </c>
      <c r="H12" s="21" t="n">
        <v>40</v>
      </c>
      <c r="I12" s="21" t="n">
        <v>19</v>
      </c>
      <c r="J12" s="21" t="n">
        <v>15</v>
      </c>
      <c r="K12" s="20" t="n">
        <v>10481.43</v>
      </c>
    </row>
    <row r="13">
      <c r="A13" s="19" t="n">
        <v>46223</v>
      </c>
      <c r="B13" t="inlineStr">
        <is>
          <t>TikTok</t>
        </is>
      </c>
      <c r="C13" s="20" t="n">
        <v>1385.47</v>
      </c>
      <c r="D13" s="21" t="n">
        <v>32374</v>
      </c>
      <c r="E13" s="21" t="n">
        <v>14480</v>
      </c>
      <c r="F13" s="21" t="n">
        <v>438</v>
      </c>
      <c r="G13" s="21" t="inlineStr"/>
      <c r="H13" s="21" t="n">
        <v>27</v>
      </c>
      <c r="I13" s="21" t="n">
        <v>13</v>
      </c>
      <c r="J13" s="21" t="n">
        <v>9</v>
      </c>
      <c r="K13" s="20" t="n">
        <v>5385.92</v>
      </c>
    </row>
    <row r="14">
      <c r="A14" s="19" t="n">
        <v>46224</v>
      </c>
      <c r="B14" t="inlineStr">
        <is>
          <t>Meta</t>
        </is>
      </c>
      <c r="C14" s="20" t="n">
        <v>3189.3</v>
      </c>
      <c r="D14" s="21" t="n">
        <v>50159</v>
      </c>
      <c r="E14" s="21" t="n">
        <v>20267</v>
      </c>
      <c r="F14" s="21" t="n">
        <v>827</v>
      </c>
      <c r="G14" s="21" t="n">
        <v>678</v>
      </c>
      <c r="H14" s="21" t="n">
        <v>51</v>
      </c>
      <c r="I14" s="21" t="n">
        <v>26</v>
      </c>
      <c r="J14" s="21" t="n">
        <v>21</v>
      </c>
      <c r="K14" s="20" t="n">
        <v>14573.55</v>
      </c>
    </row>
    <row r="15">
      <c r="A15" s="19" t="n">
        <v>46224</v>
      </c>
      <c r="B15" t="inlineStr">
        <is>
          <t>TikTok</t>
        </is>
      </c>
      <c r="C15" s="20" t="n">
        <v>1355.02</v>
      </c>
      <c r="D15" s="21" t="n">
        <v>33451</v>
      </c>
      <c r="E15" s="21" t="n">
        <v>16531</v>
      </c>
      <c r="F15" s="21" t="n">
        <v>374</v>
      </c>
      <c r="G15" s="21" t="inlineStr"/>
      <c r="H15" s="21" t="n">
        <v>22</v>
      </c>
      <c r="I15" s="21" t="n">
        <v>9</v>
      </c>
      <c r="J15" s="21" t="n">
        <v>6</v>
      </c>
      <c r="K15" s="20" t="n">
        <v>3450.55</v>
      </c>
    </row>
    <row r="16">
      <c r="A16" s="19" t="n">
        <v>46225</v>
      </c>
      <c r="B16" t="inlineStr">
        <is>
          <t>Meta</t>
        </is>
      </c>
      <c r="C16" s="20" t="n">
        <v>3074.11</v>
      </c>
      <c r="D16" s="21" t="n">
        <v>48118</v>
      </c>
      <c r="E16" s="21" t="n">
        <v>18479</v>
      </c>
      <c r="F16" s="21" t="n">
        <v>771</v>
      </c>
      <c r="G16" s="21" t="n">
        <v>564</v>
      </c>
      <c r="H16" s="21" t="n">
        <v>40</v>
      </c>
      <c r="I16" s="21" t="n">
        <v>18</v>
      </c>
      <c r="J16" s="21" t="n">
        <v>13</v>
      </c>
      <c r="K16" s="20" t="n">
        <v>9481.870000000001</v>
      </c>
    </row>
    <row r="17">
      <c r="A17" s="19" t="n">
        <v>46225</v>
      </c>
      <c r="B17" t="inlineStr">
        <is>
          <t>TikTok</t>
        </is>
      </c>
      <c r="C17" s="20" t="n">
        <v>1498.14</v>
      </c>
      <c r="D17" s="21" t="n">
        <v>36403</v>
      </c>
      <c r="E17" s="21" t="n">
        <v>17644</v>
      </c>
      <c r="F17" s="21" t="n">
        <v>367</v>
      </c>
      <c r="G17" s="21" t="inlineStr"/>
      <c r="H17" s="21" t="n">
        <v>25</v>
      </c>
      <c r="I17" s="21" t="n">
        <v>11</v>
      </c>
      <c r="J17" s="21" t="n">
        <v>7</v>
      </c>
      <c r="K17" s="20" t="n">
        <v>4111.35</v>
      </c>
    </row>
    <row r="18">
      <c r="A18" s="19" t="n">
        <v>46226</v>
      </c>
      <c r="B18" t="inlineStr">
        <is>
          <t>Meta</t>
        </is>
      </c>
      <c r="C18" s="20" t="n">
        <v>3215.18</v>
      </c>
      <c r="D18" s="21" t="n">
        <v>52963</v>
      </c>
      <c r="E18" s="21" t="n">
        <v>27000</v>
      </c>
      <c r="F18" s="21" t="n">
        <v>766</v>
      </c>
      <c r="G18" s="21" t="n">
        <v>576</v>
      </c>
      <c r="H18" s="21" t="n">
        <v>48</v>
      </c>
      <c r="I18" s="21" t="n">
        <v>23</v>
      </c>
      <c r="J18" s="21" t="n">
        <v>17</v>
      </c>
      <c r="K18" s="20" t="n">
        <v>12175.79</v>
      </c>
    </row>
    <row r="19">
      <c r="A19" s="19" t="n">
        <v>46226</v>
      </c>
      <c r="B19" t="inlineStr">
        <is>
          <t>TikTok</t>
        </is>
      </c>
      <c r="C19" s="20" t="n">
        <v>1403.65</v>
      </c>
      <c r="D19" s="21" t="n">
        <v>32751</v>
      </c>
      <c r="E19" s="21" t="n">
        <v>15745</v>
      </c>
      <c r="F19" s="21" t="n">
        <v>394</v>
      </c>
      <c r="G19" s="21" t="inlineStr"/>
      <c r="H19" s="21" t="n">
        <v>25</v>
      </c>
      <c r="I19" s="21" t="n">
        <v>9</v>
      </c>
      <c r="J19" s="21" t="n">
        <v>6</v>
      </c>
      <c r="K19" s="20" t="n">
        <v>3491.39</v>
      </c>
    </row>
    <row r="20">
      <c r="A20" s="19" t="n">
        <v>46227</v>
      </c>
      <c r="B20" t="inlineStr">
        <is>
          <t>Meta</t>
        </is>
      </c>
      <c r="C20" s="20" t="n">
        <v>3675.47</v>
      </c>
      <c r="D20" s="21" t="n">
        <v>55762</v>
      </c>
      <c r="E20" s="21" t="n">
        <v>26192</v>
      </c>
      <c r="F20" s="21" t="n">
        <v>949</v>
      </c>
      <c r="G20" s="21" t="n">
        <v>769</v>
      </c>
      <c r="H20" s="21" t="n">
        <v>57</v>
      </c>
      <c r="I20" s="21" t="n">
        <v>28</v>
      </c>
      <c r="J20" s="21" t="n">
        <v>20</v>
      </c>
      <c r="K20" s="20" t="n">
        <v>14319.26</v>
      </c>
    </row>
    <row r="21">
      <c r="A21" s="19" t="n">
        <v>46227</v>
      </c>
      <c r="B21" t="inlineStr">
        <is>
          <t>TikTok</t>
        </is>
      </c>
      <c r="C21" s="20" t="n">
        <v>1495.99</v>
      </c>
      <c r="D21" s="21" t="n">
        <v>33779</v>
      </c>
      <c r="E21" s="21" t="n">
        <v>14786</v>
      </c>
      <c r="F21" s="21" t="n">
        <v>351</v>
      </c>
      <c r="G21" s="21" t="inlineStr"/>
      <c r="H21" s="21" t="n">
        <v>23</v>
      </c>
      <c r="I21" s="21" t="n">
        <v>10</v>
      </c>
      <c r="J21" s="21" t="n">
        <v>6</v>
      </c>
      <c r="K21" s="20" t="n">
        <v>3651.54</v>
      </c>
    </row>
    <row r="22">
      <c r="A22" s="19" t="n">
        <v>46228</v>
      </c>
      <c r="B22" t="inlineStr">
        <is>
          <t>Meta</t>
        </is>
      </c>
      <c r="C22" s="20" t="n">
        <v>3646.96</v>
      </c>
      <c r="D22" s="21" t="n">
        <v>54385</v>
      </c>
      <c r="E22" s="21" t="n">
        <v>22375</v>
      </c>
      <c r="F22" s="21" t="n">
        <v>926</v>
      </c>
      <c r="G22" s="21" t="n">
        <v>744</v>
      </c>
      <c r="H22" s="21" t="n">
        <v>57</v>
      </c>
      <c r="I22" s="21" t="n">
        <v>26</v>
      </c>
      <c r="J22" s="21" t="n">
        <v>19</v>
      </c>
      <c r="K22" s="20" t="n">
        <v>13666.67</v>
      </c>
    </row>
    <row r="23">
      <c r="A23" s="19" t="n">
        <v>46228</v>
      </c>
      <c r="B23" t="inlineStr">
        <is>
          <t>TikTok</t>
        </is>
      </c>
      <c r="C23" s="20" t="n">
        <v>1544.85</v>
      </c>
      <c r="D23" s="21" t="n">
        <v>36993</v>
      </c>
      <c r="E23" s="21" t="n">
        <v>20898</v>
      </c>
      <c r="F23" s="21" t="n">
        <v>379</v>
      </c>
      <c r="G23" s="21" t="inlineStr"/>
      <c r="H23" s="21" t="n">
        <v>24</v>
      </c>
      <c r="I23" s="21" t="n">
        <v>10</v>
      </c>
      <c r="J23" s="21" t="n">
        <v>6</v>
      </c>
      <c r="K23" s="20" t="n">
        <v>3866.24</v>
      </c>
    </row>
    <row r="24">
      <c r="A24" s="19" t="n">
        <v>46229</v>
      </c>
      <c r="B24" t="inlineStr">
        <is>
          <t>Meta</t>
        </is>
      </c>
      <c r="C24" s="20" t="n">
        <v>3461.35</v>
      </c>
      <c r="D24" s="21" t="n">
        <v>54820</v>
      </c>
      <c r="E24" s="21" t="n">
        <v>27958</v>
      </c>
      <c r="F24" s="21" t="n">
        <v>792</v>
      </c>
      <c r="G24" s="21" t="n">
        <v>542</v>
      </c>
      <c r="H24" s="21" t="n">
        <v>40</v>
      </c>
      <c r="I24" s="21" t="n">
        <v>21</v>
      </c>
      <c r="J24" s="21" t="n">
        <v>16</v>
      </c>
      <c r="K24" s="20" t="n">
        <v>11450.74</v>
      </c>
    </row>
    <row r="25">
      <c r="A25" s="19" t="n">
        <v>46229</v>
      </c>
      <c r="B25" t="inlineStr">
        <is>
          <t>TikTok</t>
        </is>
      </c>
      <c r="C25" s="20" t="n">
        <v>1733.41</v>
      </c>
      <c r="D25" s="21" t="n">
        <v>38489</v>
      </c>
      <c r="E25" s="21" t="n">
        <v>23783</v>
      </c>
      <c r="F25" s="21" t="n">
        <v>464</v>
      </c>
      <c r="G25" s="21" t="inlineStr"/>
      <c r="H25" s="21" t="n">
        <v>26</v>
      </c>
      <c r="I25" s="21" t="n">
        <v>11</v>
      </c>
      <c r="J25" s="21" t="n">
        <v>8</v>
      </c>
      <c r="K25" s="20" t="n">
        <v>4753.57</v>
      </c>
    </row>
    <row r="26">
      <c r="A26" s="19" t="n">
        <v>46230</v>
      </c>
      <c r="B26" t="inlineStr">
        <is>
          <t>Meta</t>
        </is>
      </c>
      <c r="C26" s="20" t="n">
        <v>3331.86</v>
      </c>
      <c r="D26" s="21" t="n">
        <v>50662</v>
      </c>
      <c r="E26" s="21" t="n">
        <v>20941</v>
      </c>
      <c r="F26" s="21" t="n">
        <v>832</v>
      </c>
      <c r="G26" s="21" t="n">
        <v>674</v>
      </c>
      <c r="H26" s="21" t="n">
        <v>47</v>
      </c>
      <c r="I26" s="21" t="n">
        <v>24</v>
      </c>
      <c r="J26" s="21" t="n">
        <v>17</v>
      </c>
      <c r="K26" s="20" t="n">
        <v>11516.83</v>
      </c>
    </row>
    <row r="27">
      <c r="A27" s="19" t="n">
        <v>46230</v>
      </c>
      <c r="B27" t="inlineStr">
        <is>
          <t>TikTok</t>
        </is>
      </c>
      <c r="C27" s="20" t="n">
        <v>1573.27</v>
      </c>
      <c r="D27" s="21" t="n">
        <v>37813</v>
      </c>
      <c r="E27" s="21" t="n">
        <v>18304</v>
      </c>
      <c r="F27" s="21" t="n">
        <v>485</v>
      </c>
      <c r="G27" s="21" t="inlineStr"/>
      <c r="H27" s="21" t="n">
        <v>31</v>
      </c>
      <c r="I27" s="21" t="n">
        <v>14</v>
      </c>
      <c r="J27" s="21" t="n">
        <v>9</v>
      </c>
      <c r="K27" s="20" t="n">
        <v>5534.42</v>
      </c>
    </row>
    <row r="28">
      <c r="A28" s="19" t="n">
        <v>46231</v>
      </c>
      <c r="B28" t="inlineStr">
        <is>
          <t>Meta</t>
        </is>
      </c>
      <c r="C28" s="20" t="n">
        <v>2979.4</v>
      </c>
      <c r="D28" s="21" t="n">
        <v>46179</v>
      </c>
      <c r="E28" s="21" t="n">
        <v>17212</v>
      </c>
      <c r="F28" s="21" t="n">
        <v>663</v>
      </c>
      <c r="G28" s="21" t="n">
        <v>541</v>
      </c>
      <c r="H28" s="21" t="n">
        <v>44</v>
      </c>
      <c r="I28" s="21" t="n">
        <v>22</v>
      </c>
      <c r="J28" s="21" t="n">
        <v>18</v>
      </c>
      <c r="K28" s="20" t="n">
        <v>12164.38</v>
      </c>
    </row>
    <row r="29">
      <c r="A29" s="19" t="n">
        <v>46231</v>
      </c>
      <c r="B29" t="inlineStr">
        <is>
          <t>TikTok</t>
        </is>
      </c>
      <c r="C29" s="20" t="n">
        <v>1334.14</v>
      </c>
      <c r="D29" s="21" t="n">
        <v>30506</v>
      </c>
      <c r="E29" s="21" t="n">
        <v>14601</v>
      </c>
      <c r="F29" s="21" t="n">
        <v>341</v>
      </c>
      <c r="G29" s="21" t="inlineStr"/>
      <c r="H29" s="21" t="n">
        <v>19</v>
      </c>
      <c r="I29" s="21" t="n">
        <v>8</v>
      </c>
      <c r="J29" s="21" t="n">
        <v>5</v>
      </c>
      <c r="K29" s="20" t="n">
        <v>3463.92</v>
      </c>
    </row>
    <row r="30">
      <c r="A30" s="19" t="n">
        <v>46232</v>
      </c>
      <c r="B30" t="inlineStr">
        <is>
          <t>Meta</t>
        </is>
      </c>
      <c r="C30" s="20" t="n">
        <v>3128.57</v>
      </c>
      <c r="D30" s="21" t="n">
        <v>47720</v>
      </c>
      <c r="E30" s="21" t="n">
        <v>21499</v>
      </c>
      <c r="F30" s="21" t="n">
        <v>806</v>
      </c>
      <c r="G30" s="21" t="n">
        <v>566</v>
      </c>
      <c r="H30" s="21" t="n">
        <v>45</v>
      </c>
      <c r="I30" s="21" t="n">
        <v>20</v>
      </c>
      <c r="J30" s="21" t="n">
        <v>16</v>
      </c>
      <c r="K30" s="20" t="n">
        <v>11081.1</v>
      </c>
    </row>
    <row r="31">
      <c r="A31" s="19" t="n">
        <v>46232</v>
      </c>
      <c r="B31" t="inlineStr">
        <is>
          <t>TikTok</t>
        </is>
      </c>
      <c r="C31" s="20" t="n">
        <v>1545.54</v>
      </c>
      <c r="D31" s="21" t="n">
        <v>34385</v>
      </c>
      <c r="E31" s="21" t="n">
        <v>20407</v>
      </c>
      <c r="F31" s="21" t="n">
        <v>375</v>
      </c>
      <c r="G31" s="21" t="inlineStr"/>
      <c r="H31" s="21" t="n">
        <v>21</v>
      </c>
      <c r="I31" s="21" t="n">
        <v>10</v>
      </c>
      <c r="J31" s="21" t="n">
        <v>7</v>
      </c>
      <c r="K31" s="20" t="n">
        <v>4016.92</v>
      </c>
    </row>
    <row r="32">
      <c r="A32" s="19" t="n">
        <v>46233</v>
      </c>
      <c r="B32" t="inlineStr">
        <is>
          <t>Meta</t>
        </is>
      </c>
      <c r="C32" s="20" t="n">
        <v>3072.57</v>
      </c>
      <c r="D32" s="21" t="n">
        <v>45306</v>
      </c>
      <c r="E32" s="21" t="n">
        <v>20983</v>
      </c>
      <c r="F32" s="21" t="n">
        <v>766</v>
      </c>
      <c r="G32" s="21" t="n">
        <v>572</v>
      </c>
      <c r="H32" s="21" t="n">
        <v>39</v>
      </c>
      <c r="I32" s="21" t="n">
        <v>20</v>
      </c>
      <c r="J32" s="21" t="n">
        <v>16</v>
      </c>
      <c r="K32" s="20" t="n">
        <v>11159.73</v>
      </c>
    </row>
    <row r="33">
      <c r="A33" s="19" t="n">
        <v>46233</v>
      </c>
      <c r="B33" t="inlineStr">
        <is>
          <t>TikTok</t>
        </is>
      </c>
      <c r="C33" s="20" t="n">
        <v>1556.7</v>
      </c>
      <c r="D33" s="21" t="n">
        <v>34572</v>
      </c>
      <c r="E33" s="21" t="n">
        <v>15315</v>
      </c>
      <c r="F33" s="21" t="n">
        <v>400</v>
      </c>
      <c r="G33" s="21" t="inlineStr"/>
      <c r="H33" s="21" t="n">
        <v>23</v>
      </c>
      <c r="I33" s="21" t="n">
        <v>10</v>
      </c>
      <c r="J33" s="21" t="n">
        <v>7</v>
      </c>
      <c r="K33" s="20" t="n">
        <v>4545.96</v>
      </c>
    </row>
    <row r="34">
      <c r="A34" s="19" t="n">
        <v>46234</v>
      </c>
      <c r="B34" t="inlineStr">
        <is>
          <t>Meta</t>
        </is>
      </c>
      <c r="C34" s="20" t="n">
        <v>3466.35</v>
      </c>
      <c r="D34" s="21" t="n">
        <v>53668</v>
      </c>
      <c r="E34" s="21" t="n">
        <v>20616</v>
      </c>
      <c r="F34" s="21" t="n">
        <v>954</v>
      </c>
      <c r="G34" s="21" t="n">
        <v>681</v>
      </c>
      <c r="H34" s="21" t="n">
        <v>52</v>
      </c>
      <c r="I34" s="21" t="n">
        <v>26</v>
      </c>
      <c r="J34" s="21" t="n">
        <v>18</v>
      </c>
      <c r="K34" s="20" t="n">
        <v>13464.14</v>
      </c>
    </row>
    <row r="35">
      <c r="A35" s="19" t="n">
        <v>46234</v>
      </c>
      <c r="B35" t="inlineStr">
        <is>
          <t>TikTok</t>
        </is>
      </c>
      <c r="C35" s="20" t="n">
        <v>1627.14</v>
      </c>
      <c r="D35" s="21" t="n">
        <v>37462</v>
      </c>
      <c r="E35" s="21" t="n">
        <v>19128</v>
      </c>
      <c r="F35" s="21" t="n">
        <v>493</v>
      </c>
      <c r="G35" s="21" t="inlineStr"/>
      <c r="H35" s="21" t="n">
        <v>28</v>
      </c>
      <c r="I35" s="21" t="n">
        <v>11</v>
      </c>
      <c r="J35" s="21" t="n">
        <v>8</v>
      </c>
      <c r="K35" s="20" t="n">
        <v>4911.4</v>
      </c>
    </row>
    <row r="36">
      <c r="A36" s="19" t="n">
        <v>46235</v>
      </c>
      <c r="B36" t="inlineStr">
        <is>
          <t>Meta</t>
        </is>
      </c>
      <c r="C36" s="20" t="n">
        <v>4103.75</v>
      </c>
      <c r="D36" s="21" t="n">
        <v>62170</v>
      </c>
      <c r="E36" s="21" t="n">
        <v>23302</v>
      </c>
      <c r="F36" s="21" t="n">
        <v>973</v>
      </c>
      <c r="G36" s="21" t="n">
        <v>740</v>
      </c>
      <c r="H36" s="21" t="n">
        <v>61</v>
      </c>
      <c r="I36" s="21" t="n">
        <v>26</v>
      </c>
      <c r="J36" s="21" t="n">
        <v>19</v>
      </c>
      <c r="K36" s="20" t="n">
        <v>13394.6</v>
      </c>
    </row>
    <row r="37">
      <c r="A37" s="19" t="n">
        <v>46235</v>
      </c>
      <c r="B37" t="inlineStr">
        <is>
          <t>TikTok</t>
        </is>
      </c>
      <c r="C37" s="20" t="n">
        <v>2019.59</v>
      </c>
      <c r="D37" s="21" t="n">
        <v>47163</v>
      </c>
      <c r="E37" s="21" t="n">
        <v>24555</v>
      </c>
      <c r="F37" s="21" t="n">
        <v>563</v>
      </c>
      <c r="G37" s="21" t="inlineStr"/>
      <c r="H37" s="21" t="n">
        <v>38</v>
      </c>
      <c r="I37" s="21" t="n">
        <v>14</v>
      </c>
      <c r="J37" s="21" t="n">
        <v>9</v>
      </c>
      <c r="K37" s="20" t="n">
        <v>5371.32</v>
      </c>
    </row>
    <row r="38">
      <c r="A38" s="19" t="n">
        <v>46236</v>
      </c>
      <c r="B38" t="inlineStr">
        <is>
          <t>Meta</t>
        </is>
      </c>
      <c r="C38" s="20" t="n">
        <v>4118.93</v>
      </c>
      <c r="D38" s="21" t="n">
        <v>63306</v>
      </c>
      <c r="E38" s="21" t="n">
        <v>25071</v>
      </c>
      <c r="F38" s="21" t="n">
        <v>1151</v>
      </c>
      <c r="G38" s="21" t="n">
        <v>931</v>
      </c>
      <c r="H38" s="21" t="n">
        <v>75</v>
      </c>
      <c r="I38" s="21" t="n">
        <v>38</v>
      </c>
      <c r="J38" s="21" t="n">
        <v>28</v>
      </c>
      <c r="K38" s="20" t="n">
        <v>19131.76</v>
      </c>
    </row>
    <row r="39">
      <c r="A39" s="19" t="n">
        <v>46236</v>
      </c>
      <c r="B39" t="inlineStr">
        <is>
          <t>TikTok</t>
        </is>
      </c>
      <c r="C39" s="20" t="n">
        <v>1872.63</v>
      </c>
      <c r="D39" s="21" t="n">
        <v>42028</v>
      </c>
      <c r="E39" s="21" t="n">
        <v>22683</v>
      </c>
      <c r="F39" s="21" t="n">
        <v>560</v>
      </c>
      <c r="G39" s="21" t="inlineStr"/>
      <c r="H39" s="21" t="n">
        <v>38</v>
      </c>
      <c r="I39" s="21" t="n">
        <v>17</v>
      </c>
      <c r="J39" s="21" t="n">
        <v>11</v>
      </c>
      <c r="K39" s="20" t="n">
        <v>6628.51</v>
      </c>
    </row>
    <row r="40">
      <c r="A40" s="19" t="n">
        <v>46237</v>
      </c>
      <c r="B40" t="inlineStr">
        <is>
          <t>Meta</t>
        </is>
      </c>
      <c r="C40" s="20" t="n">
        <v>3424.58</v>
      </c>
      <c r="D40" s="21" t="n">
        <v>50846</v>
      </c>
      <c r="E40" s="21" t="n">
        <v>20223</v>
      </c>
      <c r="F40" s="21" t="n">
        <v>832</v>
      </c>
      <c r="G40" s="21" t="n">
        <v>645</v>
      </c>
      <c r="H40" s="21" t="n">
        <v>50</v>
      </c>
      <c r="I40" s="21" t="n">
        <v>24</v>
      </c>
      <c r="J40" s="21" t="n">
        <v>19</v>
      </c>
      <c r="K40" s="20" t="n">
        <v>13586.02</v>
      </c>
    </row>
    <row r="41">
      <c r="A41" s="19" t="n">
        <v>46237</v>
      </c>
      <c r="B41" t="inlineStr">
        <is>
          <t>TikTok</t>
        </is>
      </c>
      <c r="C41" s="20" t="n">
        <v>1782.06</v>
      </c>
      <c r="D41" s="21" t="n">
        <v>40579</v>
      </c>
      <c r="E41" s="21" t="n">
        <v>18280</v>
      </c>
      <c r="F41" s="21" t="n">
        <v>533</v>
      </c>
      <c r="G41" s="21" t="inlineStr"/>
      <c r="H41" s="21" t="n">
        <v>37</v>
      </c>
      <c r="I41" s="21" t="n">
        <v>15</v>
      </c>
      <c r="J41" s="21" t="n">
        <v>10</v>
      </c>
      <c r="K41" s="20" t="n">
        <v>6332.06</v>
      </c>
    </row>
    <row r="42">
      <c r="A42" s="19" t="n">
        <v>46238</v>
      </c>
      <c r="B42" t="inlineStr">
        <is>
          <t>Meta</t>
        </is>
      </c>
      <c r="C42" s="20" t="n">
        <v>3123.34</v>
      </c>
      <c r="D42" s="21" t="n">
        <v>47191</v>
      </c>
      <c r="E42" s="21" t="n">
        <v>23468</v>
      </c>
      <c r="F42" s="21" t="n">
        <v>794</v>
      </c>
      <c r="G42" s="21" t="n">
        <v>560</v>
      </c>
      <c r="H42" s="21" t="n">
        <v>42</v>
      </c>
      <c r="I42" s="21" t="n">
        <v>21</v>
      </c>
      <c r="J42" s="21" t="n">
        <v>16</v>
      </c>
      <c r="K42" s="20" t="n">
        <v>11626.61</v>
      </c>
    </row>
    <row r="43">
      <c r="A43" s="19" t="n">
        <v>46238</v>
      </c>
      <c r="B43" t="inlineStr">
        <is>
          <t>TikTok</t>
        </is>
      </c>
      <c r="C43" s="20" t="n">
        <v>1552.69</v>
      </c>
      <c r="D43" s="21" t="n">
        <v>36763</v>
      </c>
      <c r="E43" s="21" t="n">
        <v>18703</v>
      </c>
      <c r="F43" s="21" t="n">
        <v>430</v>
      </c>
      <c r="G43" s="21" t="inlineStr"/>
      <c r="H43" s="21" t="n">
        <v>31</v>
      </c>
      <c r="I43" s="21" t="n">
        <v>14</v>
      </c>
      <c r="J43" s="21" t="n">
        <v>8</v>
      </c>
      <c r="K43" s="20" t="n">
        <v>5243.99</v>
      </c>
    </row>
    <row r="44">
      <c r="A44" s="19" t="n">
        <v>46239</v>
      </c>
      <c r="B44" t="inlineStr">
        <is>
          <t>Meta</t>
        </is>
      </c>
      <c r="C44" s="20" t="n">
        <v>3226.49</v>
      </c>
      <c r="D44" s="21" t="n">
        <v>48496</v>
      </c>
      <c r="E44" s="21" t="n">
        <v>23508</v>
      </c>
      <c r="F44" s="21" t="n">
        <v>849</v>
      </c>
      <c r="G44" s="21" t="n">
        <v>655</v>
      </c>
      <c r="H44" s="21" t="n">
        <v>50</v>
      </c>
      <c r="I44" s="21" t="n">
        <v>25</v>
      </c>
      <c r="J44" s="21" t="n">
        <v>20</v>
      </c>
      <c r="K44" s="20" t="n">
        <v>13108.31</v>
      </c>
    </row>
    <row r="45">
      <c r="A45" s="19" t="n">
        <v>46239</v>
      </c>
      <c r="B45" t="inlineStr">
        <is>
          <t>TikTok</t>
        </is>
      </c>
      <c r="C45" s="20" t="n">
        <v>1428.28</v>
      </c>
      <c r="D45" s="21" t="n">
        <v>33449</v>
      </c>
      <c r="E45" s="21" t="n">
        <v>20881</v>
      </c>
      <c r="F45" s="21" t="n">
        <v>392</v>
      </c>
      <c r="G45" s="21" t="inlineStr"/>
      <c r="H45" s="21" t="n">
        <v>23</v>
      </c>
      <c r="I45" s="21" t="n">
        <v>10</v>
      </c>
      <c r="J45" s="21" t="n">
        <v>7</v>
      </c>
      <c r="K45" s="20" t="n">
        <v>4216.87</v>
      </c>
    </row>
    <row r="46">
      <c r="A46" s="19" t="n">
        <v>46240</v>
      </c>
      <c r="B46" t="inlineStr">
        <is>
          <t>Meta</t>
        </is>
      </c>
      <c r="C46" s="20" t="n">
        <v>3141.64</v>
      </c>
      <c r="D46" s="21" t="n">
        <v>47216</v>
      </c>
      <c r="E46" s="21" t="n">
        <v>19719</v>
      </c>
      <c r="F46" s="21" t="n">
        <v>833</v>
      </c>
      <c r="G46" s="21" t="n">
        <v>617</v>
      </c>
      <c r="H46" s="21" t="n">
        <v>39</v>
      </c>
      <c r="I46" s="21" t="n">
        <v>19</v>
      </c>
      <c r="J46" s="21" t="n">
        <v>15</v>
      </c>
      <c r="K46" s="20" t="n">
        <v>10584.38</v>
      </c>
    </row>
    <row r="47">
      <c r="A47" s="19" t="n">
        <v>46240</v>
      </c>
      <c r="B47" t="inlineStr">
        <is>
          <t>TikTok</t>
        </is>
      </c>
      <c r="C47" s="20" t="n">
        <v>1504.72</v>
      </c>
      <c r="D47" s="21" t="n">
        <v>32884</v>
      </c>
      <c r="E47" s="21" t="n">
        <v>15335</v>
      </c>
      <c r="F47" s="21" t="n">
        <v>394</v>
      </c>
      <c r="G47" s="21" t="inlineStr"/>
      <c r="H47" s="21" t="n">
        <v>23</v>
      </c>
      <c r="I47" s="21" t="n">
        <v>9</v>
      </c>
      <c r="J47" s="21" t="n">
        <v>6</v>
      </c>
      <c r="K47" s="20" t="n">
        <v>3796.75</v>
      </c>
    </row>
    <row r="48">
      <c r="A48" s="19" t="n">
        <v>46241</v>
      </c>
      <c r="B48" t="inlineStr">
        <is>
          <t>Meta</t>
        </is>
      </c>
      <c r="C48" s="20" t="n">
        <v>3344.08</v>
      </c>
      <c r="D48" s="21" t="n">
        <v>47818</v>
      </c>
      <c r="E48" s="21" t="n">
        <v>23393</v>
      </c>
      <c r="F48" s="21" t="n">
        <v>748</v>
      </c>
      <c r="G48" s="21" t="n">
        <v>591</v>
      </c>
      <c r="H48" s="21" t="n">
        <v>45</v>
      </c>
      <c r="I48" s="21" t="n">
        <v>21</v>
      </c>
      <c r="J48" s="21" t="n">
        <v>15</v>
      </c>
      <c r="K48" s="20" t="n">
        <v>10708.91</v>
      </c>
    </row>
    <row r="49">
      <c r="A49" s="19" t="n">
        <v>46241</v>
      </c>
      <c r="B49" t="inlineStr">
        <is>
          <t>TikTok</t>
        </is>
      </c>
      <c r="C49" s="20" t="n">
        <v>1767.06</v>
      </c>
      <c r="D49" s="21" t="n">
        <v>38135</v>
      </c>
      <c r="E49" s="21" t="n">
        <v>18946</v>
      </c>
      <c r="F49" s="21" t="n">
        <v>470</v>
      </c>
      <c r="G49" s="21" t="inlineStr"/>
      <c r="H49" s="21" t="n">
        <v>30</v>
      </c>
      <c r="I49" s="21" t="n">
        <v>12</v>
      </c>
      <c r="J49" s="21" t="n">
        <v>8</v>
      </c>
      <c r="K49" s="20" t="n">
        <v>4978.85</v>
      </c>
    </row>
    <row r="50">
      <c r="A50" s="19" t="n">
        <v>46242</v>
      </c>
      <c r="B50" t="inlineStr">
        <is>
          <t>Meta</t>
        </is>
      </c>
      <c r="C50" s="20" t="n">
        <v>3486.26</v>
      </c>
      <c r="D50" s="21" t="n">
        <v>49443</v>
      </c>
      <c r="E50" s="21" t="n">
        <v>18687</v>
      </c>
      <c r="F50" s="21" t="n">
        <v>894</v>
      </c>
      <c r="G50" s="21" t="n">
        <v>631</v>
      </c>
      <c r="H50" s="21" t="n">
        <v>40</v>
      </c>
      <c r="I50" s="21" t="n">
        <v>20</v>
      </c>
      <c r="J50" s="21" t="n">
        <v>16</v>
      </c>
      <c r="K50" s="20" t="n">
        <v>10452.54</v>
      </c>
    </row>
    <row r="51">
      <c r="A51" s="19" t="n">
        <v>46242</v>
      </c>
      <c r="B51" t="inlineStr">
        <is>
          <t>TikTok</t>
        </is>
      </c>
      <c r="C51" s="20" t="n">
        <v>1701.9</v>
      </c>
      <c r="D51" s="21" t="n">
        <v>38795</v>
      </c>
      <c r="E51" s="21" t="n">
        <v>19952</v>
      </c>
      <c r="F51" s="21" t="n">
        <v>479</v>
      </c>
      <c r="G51" s="21" t="inlineStr"/>
      <c r="H51" s="21" t="n">
        <v>35</v>
      </c>
      <c r="I51" s="21" t="n">
        <v>15</v>
      </c>
      <c r="J51" s="21" t="n">
        <v>10</v>
      </c>
      <c r="K51" s="20" t="n">
        <v>6325.01</v>
      </c>
    </row>
    <row r="52">
      <c r="A52" s="19" t="n">
        <v>46243</v>
      </c>
      <c r="B52" t="inlineStr">
        <is>
          <t>Meta</t>
        </is>
      </c>
      <c r="C52" s="20" t="n">
        <v>3233.78</v>
      </c>
      <c r="D52" s="21" t="n">
        <v>47843</v>
      </c>
      <c r="E52" s="21" t="n">
        <v>21155</v>
      </c>
      <c r="F52" s="21" t="n">
        <v>861</v>
      </c>
      <c r="G52" s="21" t="n">
        <v>624</v>
      </c>
      <c r="H52" s="21" t="n">
        <v>41</v>
      </c>
      <c r="I52" s="21" t="n">
        <v>21</v>
      </c>
      <c r="J52" s="21" t="n">
        <v>15</v>
      </c>
      <c r="K52" s="20" t="n">
        <v>10817.19</v>
      </c>
    </row>
    <row r="53">
      <c r="A53" s="19" t="n">
        <v>46243</v>
      </c>
      <c r="B53" t="inlineStr">
        <is>
          <t>TikTok</t>
        </is>
      </c>
      <c r="C53" s="20" t="n">
        <v>1459.08</v>
      </c>
      <c r="D53" s="21" t="n">
        <v>34572</v>
      </c>
      <c r="E53" s="21" t="n">
        <v>17730</v>
      </c>
      <c r="F53" s="21" t="n">
        <v>412</v>
      </c>
      <c r="G53" s="21" t="inlineStr"/>
      <c r="H53" s="21" t="n">
        <v>25</v>
      </c>
      <c r="I53" s="21" t="n">
        <v>11</v>
      </c>
      <c r="J53" s="21" t="n">
        <v>6</v>
      </c>
      <c r="K53" s="20" t="n">
        <v>4145.44</v>
      </c>
    </row>
    <row r="54">
      <c r="A54" s="19" t="n">
        <v>46244</v>
      </c>
      <c r="B54" t="inlineStr">
        <is>
          <t>Meta</t>
        </is>
      </c>
      <c r="C54" s="20" t="n">
        <v>3105.97</v>
      </c>
      <c r="D54" s="21" t="n">
        <v>44770</v>
      </c>
      <c r="E54" s="21" t="n">
        <v>17712</v>
      </c>
      <c r="F54" s="21" t="n">
        <v>699</v>
      </c>
      <c r="G54" s="21" t="n">
        <v>511</v>
      </c>
      <c r="H54" s="21" t="n">
        <v>39</v>
      </c>
      <c r="I54" s="21" t="n">
        <v>20</v>
      </c>
      <c r="J54" s="21" t="n">
        <v>14</v>
      </c>
      <c r="K54" s="20" t="n">
        <v>9365.73</v>
      </c>
    </row>
    <row r="55">
      <c r="A55" s="19" t="n">
        <v>46244</v>
      </c>
      <c r="B55" t="inlineStr">
        <is>
          <t>TikTok</t>
        </is>
      </c>
      <c r="C55" s="20" t="n">
        <v>1581.94</v>
      </c>
      <c r="D55" s="21" t="n">
        <v>35618</v>
      </c>
      <c r="E55" s="21" t="n">
        <v>17867</v>
      </c>
      <c r="F55" s="21" t="n">
        <v>466</v>
      </c>
      <c r="G55" s="21" t="inlineStr"/>
      <c r="H55" s="21" t="n">
        <v>31</v>
      </c>
      <c r="I55" s="21" t="n">
        <v>13</v>
      </c>
      <c r="J55" s="21" t="n">
        <v>9</v>
      </c>
      <c r="K55" s="20" t="n">
        <v>5319.02</v>
      </c>
    </row>
    <row r="56">
      <c r="A56" s="19" t="n">
        <v>46245</v>
      </c>
      <c r="B56" t="inlineStr">
        <is>
          <t>Meta</t>
        </is>
      </c>
      <c r="C56" s="20" t="n">
        <v>3207.83</v>
      </c>
      <c r="D56" s="21" t="n">
        <v>45364</v>
      </c>
      <c r="E56" s="21" t="n">
        <v>20531</v>
      </c>
      <c r="F56" s="21" t="n">
        <v>718</v>
      </c>
      <c r="G56" s="21" t="n">
        <v>529</v>
      </c>
      <c r="H56" s="21" t="n">
        <v>34</v>
      </c>
      <c r="I56" s="21" t="n">
        <v>15</v>
      </c>
      <c r="J56" s="21" t="n">
        <v>10</v>
      </c>
      <c r="K56" s="20" t="n">
        <v>7636.08</v>
      </c>
    </row>
    <row r="57">
      <c r="A57" s="19" t="n">
        <v>46245</v>
      </c>
      <c r="B57" t="inlineStr">
        <is>
          <t>TikTok</t>
        </is>
      </c>
      <c r="C57" s="20" t="n">
        <v>1480.92</v>
      </c>
      <c r="D57" s="21" t="n">
        <v>31763</v>
      </c>
      <c r="E57" s="21" t="n">
        <v>15169</v>
      </c>
      <c r="F57" s="21" t="n">
        <v>327</v>
      </c>
      <c r="G57" s="21" t="inlineStr"/>
      <c r="H57" s="21" t="n">
        <v>20</v>
      </c>
      <c r="I57" s="21" t="n">
        <v>8</v>
      </c>
      <c r="J57" s="21" t="n">
        <v>6</v>
      </c>
      <c r="K57" s="20" t="n">
        <v>3539.36</v>
      </c>
    </row>
    <row r="58">
      <c r="A58" s="19" t="n">
        <v>46246</v>
      </c>
      <c r="B58" t="inlineStr">
        <is>
          <t>Meta</t>
        </is>
      </c>
      <c r="C58" s="20" t="n">
        <v>3317.42</v>
      </c>
      <c r="D58" s="21" t="n">
        <v>47884</v>
      </c>
      <c r="E58" s="21" t="n">
        <v>21867</v>
      </c>
      <c r="F58" s="21" t="n">
        <v>780</v>
      </c>
      <c r="G58" s="21" t="n">
        <v>559</v>
      </c>
      <c r="H58" s="21" t="n">
        <v>46</v>
      </c>
      <c r="I58" s="21" t="n">
        <v>23</v>
      </c>
      <c r="J58" s="21" t="n">
        <v>17</v>
      </c>
      <c r="K58" s="20" t="n">
        <v>12148.04</v>
      </c>
    </row>
    <row r="59">
      <c r="A59" s="19" t="n">
        <v>46246</v>
      </c>
      <c r="B59" t="inlineStr">
        <is>
          <t>TikTok</t>
        </is>
      </c>
      <c r="C59" s="20" t="n">
        <v>1404.11</v>
      </c>
      <c r="D59" s="21" t="n">
        <v>32628</v>
      </c>
      <c r="E59" s="21" t="n">
        <v>15189</v>
      </c>
      <c r="F59" s="21" t="n">
        <v>380</v>
      </c>
      <c r="G59" s="21" t="inlineStr"/>
      <c r="H59" s="21" t="n">
        <v>26</v>
      </c>
      <c r="I59" s="21" t="n">
        <v>12</v>
      </c>
      <c r="J59" s="21" t="n">
        <v>8</v>
      </c>
      <c r="K59" s="20" t="n">
        <v>4914.66</v>
      </c>
    </row>
    <row r="60">
      <c r="A60" s="19" t="n">
        <v>46247</v>
      </c>
      <c r="B60" t="inlineStr">
        <is>
          <t>Meta</t>
        </is>
      </c>
      <c r="C60" s="20" t="n">
        <v>3329.51</v>
      </c>
      <c r="D60" s="21" t="n">
        <v>50544</v>
      </c>
      <c r="E60" s="21" t="n">
        <v>24815</v>
      </c>
      <c r="F60" s="21" t="n">
        <v>810</v>
      </c>
      <c r="G60" s="21" t="n">
        <v>623</v>
      </c>
      <c r="H60" s="21" t="n">
        <v>46</v>
      </c>
      <c r="I60" s="21" t="n">
        <v>23</v>
      </c>
      <c r="J60" s="21" t="n">
        <v>17</v>
      </c>
      <c r="K60" s="20" t="n">
        <v>11457.31</v>
      </c>
    </row>
    <row r="61">
      <c r="A61" s="19" t="n">
        <v>46247</v>
      </c>
      <c r="B61" t="inlineStr">
        <is>
          <t>TikTok</t>
        </is>
      </c>
      <c r="C61" s="20" t="n">
        <v>1626.85</v>
      </c>
      <c r="D61" s="21" t="n">
        <v>37624</v>
      </c>
      <c r="E61" s="21" t="n">
        <v>18784</v>
      </c>
      <c r="F61" s="21" t="n">
        <v>470</v>
      </c>
      <c r="G61" s="21" t="inlineStr"/>
      <c r="H61" s="21" t="n">
        <v>35</v>
      </c>
      <c r="I61" s="21" t="n">
        <v>15</v>
      </c>
      <c r="J61" s="21" t="n">
        <v>10</v>
      </c>
      <c r="K61" s="20" t="n">
        <v>5814.38</v>
      </c>
    </row>
    <row r="62">
      <c r="A62" s="19" t="n">
        <v>46248</v>
      </c>
      <c r="B62" t="inlineStr">
        <is>
          <t>Meta</t>
        </is>
      </c>
      <c r="C62" s="20" t="n">
        <v>3393.21</v>
      </c>
      <c r="D62" s="21" t="n">
        <v>50605</v>
      </c>
      <c r="E62" s="21" t="n">
        <v>22491</v>
      </c>
      <c r="F62" s="21" t="n">
        <v>728</v>
      </c>
      <c r="G62" s="21" t="n">
        <v>527</v>
      </c>
      <c r="H62" s="21" t="n">
        <v>38</v>
      </c>
      <c r="I62" s="21" t="n">
        <v>19</v>
      </c>
      <c r="J62" s="21" t="n">
        <v>14</v>
      </c>
      <c r="K62" s="20" t="n">
        <v>9080.370000000001</v>
      </c>
    </row>
    <row r="63">
      <c r="A63" s="19" t="n">
        <v>46248</v>
      </c>
      <c r="B63" t="inlineStr">
        <is>
          <t>TikTok</t>
        </is>
      </c>
      <c r="C63" s="20" t="n">
        <v>1513.56</v>
      </c>
      <c r="D63" s="21" t="n">
        <v>35219</v>
      </c>
      <c r="E63" s="21" t="n">
        <v>19353</v>
      </c>
      <c r="F63" s="21" t="n">
        <v>396</v>
      </c>
      <c r="G63" s="21" t="inlineStr"/>
      <c r="H63" s="21" t="n">
        <v>27</v>
      </c>
      <c r="I63" s="21" t="n">
        <v>11</v>
      </c>
      <c r="J63" s="21" t="n">
        <v>7</v>
      </c>
      <c r="K63" s="20" t="n">
        <v>4044.44</v>
      </c>
    </row>
    <row r="64">
      <c r="A64" s="19" t="n">
        <v>46249</v>
      </c>
      <c r="B64" t="inlineStr">
        <is>
          <t>Meta</t>
        </is>
      </c>
      <c r="C64" s="20" t="n">
        <v>3468.07</v>
      </c>
      <c r="D64" s="21" t="n">
        <v>50931</v>
      </c>
      <c r="E64" s="21" t="n">
        <v>23078</v>
      </c>
      <c r="F64" s="21" t="n">
        <v>749</v>
      </c>
      <c r="G64" s="21" t="n">
        <v>607</v>
      </c>
      <c r="H64" s="21" t="n">
        <v>40</v>
      </c>
      <c r="I64" s="21" t="n">
        <v>21</v>
      </c>
      <c r="J64" s="21" t="n">
        <v>15</v>
      </c>
      <c r="K64" s="20" t="n">
        <v>10319.98</v>
      </c>
    </row>
    <row r="65">
      <c r="A65" s="19" t="n">
        <v>46249</v>
      </c>
      <c r="B65" t="inlineStr">
        <is>
          <t>TikTok</t>
        </is>
      </c>
      <c r="C65" s="20" t="n">
        <v>1567.55</v>
      </c>
      <c r="D65" s="21" t="n">
        <v>32840</v>
      </c>
      <c r="E65" s="21" t="n">
        <v>19205</v>
      </c>
      <c r="F65" s="21" t="n">
        <v>426</v>
      </c>
      <c r="G65" s="21" t="inlineStr"/>
      <c r="H65" s="21" t="n">
        <v>27</v>
      </c>
      <c r="I65" s="21" t="n">
        <v>11</v>
      </c>
      <c r="J65" s="21" t="n">
        <v>7</v>
      </c>
      <c r="K65" s="20" t="n">
        <v>4422.12</v>
      </c>
    </row>
    <row r="66">
      <c r="A66" s="19" t="n">
        <v>46250</v>
      </c>
      <c r="B66" t="inlineStr">
        <is>
          <t>Meta</t>
        </is>
      </c>
      <c r="C66" s="20" t="n">
        <v>3598.53</v>
      </c>
      <c r="D66" s="21" t="n">
        <v>52496</v>
      </c>
      <c r="E66" s="21" t="n">
        <v>25581</v>
      </c>
      <c r="F66" s="21" t="n">
        <v>853</v>
      </c>
      <c r="G66" s="21" t="n">
        <v>694</v>
      </c>
      <c r="H66" s="21" t="n">
        <v>44</v>
      </c>
      <c r="I66" s="21" t="n">
        <v>22</v>
      </c>
      <c r="J66" s="21" t="n">
        <v>15</v>
      </c>
      <c r="K66" s="20" t="n">
        <v>10148.6</v>
      </c>
    </row>
    <row r="67">
      <c r="A67" s="19" t="n">
        <v>46250</v>
      </c>
      <c r="B67" t="inlineStr">
        <is>
          <t>TikTok</t>
        </is>
      </c>
      <c r="C67" s="20" t="n">
        <v>1564.42</v>
      </c>
      <c r="D67" s="21" t="n">
        <v>34522</v>
      </c>
      <c r="E67" s="21" t="n">
        <v>16319</v>
      </c>
      <c r="F67" s="21" t="n">
        <v>400</v>
      </c>
      <c r="G67" s="21" t="inlineStr"/>
      <c r="H67" s="21" t="n">
        <v>25</v>
      </c>
      <c r="I67" s="21" t="n">
        <v>12</v>
      </c>
      <c r="J67" s="21" t="n">
        <v>8</v>
      </c>
      <c r="K67" s="20" t="n">
        <v>4957.12</v>
      </c>
    </row>
    <row r="68">
      <c r="A68" s="19" t="n">
        <v>46251</v>
      </c>
      <c r="B68" t="inlineStr">
        <is>
          <t>Meta</t>
        </is>
      </c>
      <c r="C68" s="20" t="n">
        <v>3200.4</v>
      </c>
      <c r="D68" s="21" t="n">
        <v>44179</v>
      </c>
      <c r="E68" s="21" t="n">
        <v>16973</v>
      </c>
      <c r="F68" s="21" t="n">
        <v>645</v>
      </c>
      <c r="G68" s="21" t="n">
        <v>467</v>
      </c>
      <c r="H68" s="21" t="n">
        <v>30</v>
      </c>
      <c r="I68" s="21" t="n">
        <v>14</v>
      </c>
      <c r="J68" s="21" t="n">
        <v>11</v>
      </c>
      <c r="K68" s="20" t="n">
        <v>7740.58</v>
      </c>
    </row>
    <row r="69">
      <c r="A69" s="19" t="n">
        <v>46251</v>
      </c>
      <c r="B69" t="inlineStr">
        <is>
          <t>TikTok</t>
        </is>
      </c>
      <c r="C69" s="20" t="n">
        <v>1409.07</v>
      </c>
      <c r="D69" s="21" t="n">
        <v>32236</v>
      </c>
      <c r="E69" s="21" t="n">
        <v>14361</v>
      </c>
      <c r="F69" s="21" t="n">
        <v>337</v>
      </c>
      <c r="G69" s="21" t="inlineStr"/>
      <c r="H69" s="21" t="n">
        <v>20</v>
      </c>
      <c r="I69" s="21" t="n">
        <v>8</v>
      </c>
      <c r="J69" s="21" t="n">
        <v>5</v>
      </c>
      <c r="K69" s="20" t="n">
        <v>3221.49</v>
      </c>
    </row>
    <row r="70">
      <c r="A70" s="19" t="n">
        <v>46252</v>
      </c>
      <c r="B70" t="inlineStr">
        <is>
          <t>Meta</t>
        </is>
      </c>
      <c r="C70" s="20" t="n">
        <v>3268.37</v>
      </c>
      <c r="D70" s="21" t="n">
        <v>49582</v>
      </c>
      <c r="E70" s="21" t="n">
        <v>20354</v>
      </c>
      <c r="F70" s="21" t="n">
        <v>787</v>
      </c>
      <c r="G70" s="21" t="n">
        <v>591</v>
      </c>
      <c r="H70" s="21" t="n">
        <v>42</v>
      </c>
      <c r="I70" s="21" t="n">
        <v>19</v>
      </c>
      <c r="J70" s="21" t="n">
        <v>14</v>
      </c>
      <c r="K70" s="20" t="n">
        <v>9392.27</v>
      </c>
    </row>
    <row r="71">
      <c r="A71" s="19" t="n">
        <v>46252</v>
      </c>
      <c r="B71" t="inlineStr">
        <is>
          <t>TikTok</t>
        </is>
      </c>
      <c r="C71" s="20" t="n">
        <v>1468.46</v>
      </c>
      <c r="D71" s="21" t="n">
        <v>31663</v>
      </c>
      <c r="E71" s="21" t="n">
        <v>19018</v>
      </c>
      <c r="F71" s="21" t="n">
        <v>369</v>
      </c>
      <c r="G71" s="21" t="inlineStr"/>
      <c r="H71" s="21" t="n">
        <v>21</v>
      </c>
      <c r="I71" s="21" t="n">
        <v>8</v>
      </c>
      <c r="J71" s="21" t="n">
        <v>5</v>
      </c>
      <c r="K71" s="20" t="n">
        <v>3251.22</v>
      </c>
    </row>
    <row r="72">
      <c r="A72" s="19" t="n">
        <v>46253</v>
      </c>
      <c r="B72" t="inlineStr">
        <is>
          <t>Meta</t>
        </is>
      </c>
      <c r="C72" s="20" t="n">
        <v>3105.42</v>
      </c>
      <c r="D72" s="21" t="n">
        <v>42724</v>
      </c>
      <c r="E72" s="21" t="n">
        <v>18024</v>
      </c>
      <c r="F72" s="21" t="n">
        <v>640</v>
      </c>
      <c r="G72" s="21" t="n">
        <v>442</v>
      </c>
      <c r="H72" s="21" t="n">
        <v>36</v>
      </c>
      <c r="I72" s="21" t="n">
        <v>18</v>
      </c>
      <c r="J72" s="21" t="n">
        <v>14</v>
      </c>
      <c r="K72" s="20" t="n">
        <v>8939.530000000001</v>
      </c>
    </row>
    <row r="73">
      <c r="A73" s="19" t="n">
        <v>46253</v>
      </c>
      <c r="B73" t="inlineStr">
        <is>
          <t>TikTok</t>
        </is>
      </c>
      <c r="C73" s="20" t="n">
        <v>1511.93</v>
      </c>
      <c r="D73" s="21" t="n">
        <v>32355</v>
      </c>
      <c r="E73" s="21" t="n">
        <v>17448</v>
      </c>
      <c r="F73" s="21" t="n">
        <v>421</v>
      </c>
      <c r="G73" s="21" t="inlineStr"/>
      <c r="H73" s="21" t="n">
        <v>31</v>
      </c>
      <c r="I73" s="21" t="n">
        <v>12</v>
      </c>
      <c r="J73" s="21" t="n">
        <v>8</v>
      </c>
      <c r="K73" s="20" t="n">
        <v>4548.61</v>
      </c>
    </row>
    <row r="74">
      <c r="A74" s="19" t="n">
        <v>46254</v>
      </c>
      <c r="B74" t="inlineStr">
        <is>
          <t>Meta</t>
        </is>
      </c>
      <c r="C74" s="20" t="n">
        <v>3446.54</v>
      </c>
      <c r="D74" s="21" t="n">
        <v>50479</v>
      </c>
      <c r="E74" s="21" t="n">
        <v>26173</v>
      </c>
      <c r="F74" s="21" t="n">
        <v>750</v>
      </c>
      <c r="G74" s="21" t="n">
        <v>594</v>
      </c>
      <c r="H74" s="21" t="n">
        <v>39</v>
      </c>
      <c r="I74" s="21" t="n">
        <v>18</v>
      </c>
      <c r="J74" s="21" t="n">
        <v>15</v>
      </c>
      <c r="K74" s="20" t="n">
        <v>9585.940000000001</v>
      </c>
    </row>
    <row r="75">
      <c r="A75" s="19" t="n">
        <v>46254</v>
      </c>
      <c r="B75" t="inlineStr">
        <is>
          <t>TikTok</t>
        </is>
      </c>
      <c r="C75" s="20" t="n">
        <v>1400.94</v>
      </c>
      <c r="D75" s="21" t="n">
        <v>29438</v>
      </c>
      <c r="E75" s="21" t="n">
        <v>16048</v>
      </c>
      <c r="F75" s="21" t="n">
        <v>358</v>
      </c>
      <c r="G75" s="21" t="inlineStr"/>
      <c r="H75" s="21" t="n">
        <v>22</v>
      </c>
      <c r="I75" s="21" t="n">
        <v>9</v>
      </c>
      <c r="J75" s="21" t="n">
        <v>6</v>
      </c>
      <c r="K75" s="20" t="n">
        <v>3712.61</v>
      </c>
    </row>
    <row r="76">
      <c r="A76" s="19" t="n">
        <v>46255</v>
      </c>
      <c r="B76" t="inlineStr">
        <is>
          <t>Meta</t>
        </is>
      </c>
      <c r="C76" s="20" t="n">
        <v>3738.75</v>
      </c>
      <c r="D76" s="21" t="n">
        <v>51548</v>
      </c>
      <c r="E76" s="21" t="n">
        <v>25652</v>
      </c>
      <c r="F76" s="21" t="n">
        <v>887</v>
      </c>
      <c r="G76" s="21" t="n">
        <v>617</v>
      </c>
      <c r="H76" s="21" t="n">
        <v>46</v>
      </c>
      <c r="I76" s="21" t="n">
        <v>22</v>
      </c>
      <c r="J76" s="21" t="n">
        <v>16</v>
      </c>
      <c r="K76" s="20" t="n">
        <v>10952.72</v>
      </c>
    </row>
    <row r="77">
      <c r="A77" s="19" t="n">
        <v>46255</v>
      </c>
      <c r="B77" t="inlineStr">
        <is>
          <t>TikTok</t>
        </is>
      </c>
      <c r="C77" s="20" t="n">
        <v>1607.34</v>
      </c>
      <c r="D77" s="21" t="n">
        <v>35105</v>
      </c>
      <c r="E77" s="21" t="n">
        <v>15857</v>
      </c>
      <c r="F77" s="21" t="n">
        <v>418</v>
      </c>
      <c r="G77" s="21" t="inlineStr"/>
      <c r="H77" s="21" t="n">
        <v>30</v>
      </c>
      <c r="I77" s="21" t="n">
        <v>13</v>
      </c>
      <c r="J77" s="21" t="n">
        <v>9</v>
      </c>
      <c r="K77" s="20" t="n">
        <v>5367.66</v>
      </c>
    </row>
    <row r="78">
      <c r="A78" s="19" t="n">
        <v>46256</v>
      </c>
      <c r="B78" t="inlineStr">
        <is>
          <t>Meta</t>
        </is>
      </c>
      <c r="C78" s="20" t="n">
        <v>3596.79</v>
      </c>
      <c r="D78" s="21" t="n">
        <v>53205</v>
      </c>
      <c r="E78" s="21" t="n">
        <v>25817</v>
      </c>
      <c r="F78" s="21" t="n">
        <v>850</v>
      </c>
      <c r="G78" s="21" t="n">
        <v>619</v>
      </c>
      <c r="H78" s="21" t="n">
        <v>51</v>
      </c>
      <c r="I78" s="21" t="n">
        <v>22</v>
      </c>
      <c r="J78" s="21" t="n">
        <v>16</v>
      </c>
      <c r="K78" s="20" t="n">
        <v>11497.64</v>
      </c>
    </row>
    <row r="79">
      <c r="A79" s="19" t="n">
        <v>46256</v>
      </c>
      <c r="B79" t="inlineStr">
        <is>
          <t>TikTok</t>
        </is>
      </c>
      <c r="C79" s="20" t="n">
        <v>1719.83</v>
      </c>
      <c r="D79" s="21" t="n">
        <v>35031</v>
      </c>
      <c r="E79" s="21" t="n">
        <v>18939</v>
      </c>
      <c r="F79" s="21" t="n">
        <v>463</v>
      </c>
      <c r="G79" s="21" t="inlineStr"/>
      <c r="H79" s="21" t="n">
        <v>29</v>
      </c>
      <c r="I79" s="21" t="n">
        <v>14</v>
      </c>
      <c r="J79" s="21" t="n">
        <v>9</v>
      </c>
      <c r="K79" s="20" t="n">
        <v>5415.49</v>
      </c>
    </row>
    <row r="80">
      <c r="A80" s="19" t="n">
        <v>46257</v>
      </c>
      <c r="B80" t="inlineStr">
        <is>
          <t>Meta</t>
        </is>
      </c>
      <c r="C80" s="20" t="n">
        <v>3551.74</v>
      </c>
      <c r="D80" s="21" t="n">
        <v>51644</v>
      </c>
      <c r="E80" s="21" t="n">
        <v>25514</v>
      </c>
      <c r="F80" s="21" t="n">
        <v>813</v>
      </c>
      <c r="G80" s="21" t="n">
        <v>597</v>
      </c>
      <c r="H80" s="21" t="n">
        <v>42</v>
      </c>
      <c r="I80" s="21" t="n">
        <v>20</v>
      </c>
      <c r="J80" s="21" t="n">
        <v>14</v>
      </c>
      <c r="K80" s="20" t="n">
        <v>10429</v>
      </c>
    </row>
    <row r="81">
      <c r="A81" s="19" t="n">
        <v>46257</v>
      </c>
      <c r="B81" t="inlineStr">
        <is>
          <t>TikTok</t>
        </is>
      </c>
      <c r="C81" s="20" t="n">
        <v>1489.51</v>
      </c>
      <c r="D81" s="21" t="n">
        <v>31931</v>
      </c>
      <c r="E81" s="21" t="n">
        <v>15992</v>
      </c>
      <c r="F81" s="21" t="n">
        <v>334</v>
      </c>
      <c r="G81" s="21" t="inlineStr"/>
      <c r="H81" s="21" t="n">
        <v>24</v>
      </c>
      <c r="I81" s="21" t="n">
        <v>11</v>
      </c>
      <c r="J81" s="21" t="n">
        <v>8</v>
      </c>
      <c r="K81" s="20" t="n">
        <v>4533.12</v>
      </c>
    </row>
    <row r="82">
      <c r="A82" s="19" t="n">
        <v>46258</v>
      </c>
      <c r="B82" t="inlineStr">
        <is>
          <t>Meta</t>
        </is>
      </c>
      <c r="C82" s="20" t="n">
        <v>2961.6</v>
      </c>
      <c r="D82" s="21" t="n">
        <v>42708</v>
      </c>
      <c r="E82" s="21" t="n">
        <v>21387</v>
      </c>
      <c r="F82" s="21" t="n">
        <v>708</v>
      </c>
      <c r="G82" s="21" t="n">
        <v>576</v>
      </c>
      <c r="H82" s="21" t="n">
        <v>46</v>
      </c>
      <c r="I82" s="21" t="n">
        <v>20</v>
      </c>
      <c r="J82" s="21" t="n">
        <v>16</v>
      </c>
      <c r="K82" s="20" t="n">
        <v>11433.12</v>
      </c>
    </row>
    <row r="83">
      <c r="A83" s="19" t="n">
        <v>46258</v>
      </c>
      <c r="B83" t="inlineStr">
        <is>
          <t>TikTok</t>
        </is>
      </c>
      <c r="C83" s="20" t="n">
        <v>1439.66</v>
      </c>
      <c r="D83" s="21" t="n">
        <v>31321</v>
      </c>
      <c r="E83" s="21" t="n">
        <v>18986</v>
      </c>
      <c r="F83" s="21" t="n">
        <v>315</v>
      </c>
      <c r="G83" s="21" t="inlineStr"/>
      <c r="H83" s="21" t="n">
        <v>18</v>
      </c>
      <c r="I83" s="21" t="n">
        <v>7</v>
      </c>
      <c r="J83" s="21" t="n">
        <v>5</v>
      </c>
      <c r="K83" s="20" t="n">
        <v>3070.11</v>
      </c>
    </row>
    <row r="84">
      <c r="A84" s="19" t="n">
        <v>46259</v>
      </c>
      <c r="B84" t="inlineStr">
        <is>
          <t>Meta</t>
        </is>
      </c>
      <c r="C84" s="20" t="n">
        <v>3192.76</v>
      </c>
      <c r="D84" s="21" t="n">
        <v>47090</v>
      </c>
      <c r="E84" s="21" t="n">
        <v>17905</v>
      </c>
      <c r="F84" s="21" t="n">
        <v>744</v>
      </c>
      <c r="G84" s="21" t="n">
        <v>526</v>
      </c>
      <c r="H84" s="21" t="n">
        <v>41</v>
      </c>
      <c r="I84" s="21" t="n">
        <v>17</v>
      </c>
      <c r="J84" s="21" t="n">
        <v>13</v>
      </c>
      <c r="K84" s="20" t="n">
        <v>9177.33</v>
      </c>
    </row>
    <row r="85">
      <c r="A85" s="19" t="n">
        <v>46259</v>
      </c>
      <c r="B85" t="inlineStr">
        <is>
          <t>TikTok</t>
        </is>
      </c>
      <c r="C85" s="20" t="n">
        <v>1367.45</v>
      </c>
      <c r="D85" s="21" t="n">
        <v>29828</v>
      </c>
      <c r="E85" s="21" t="n">
        <v>14529</v>
      </c>
      <c r="F85" s="21" t="n">
        <v>376</v>
      </c>
      <c r="G85" s="21" t="inlineStr"/>
      <c r="H85" s="21" t="n">
        <v>24</v>
      </c>
      <c r="I85" s="21" t="n">
        <v>11</v>
      </c>
      <c r="J85" s="21" t="n">
        <v>8</v>
      </c>
      <c r="K85" s="20" t="n">
        <v>4515.14</v>
      </c>
    </row>
    <row r="86">
      <c r="A86" s="19" t="n">
        <v>46260</v>
      </c>
      <c r="B86" t="inlineStr">
        <is>
          <t>Meta</t>
        </is>
      </c>
      <c r="C86" s="20" t="n">
        <v>2959.21</v>
      </c>
      <c r="D86" s="21" t="n">
        <v>40012</v>
      </c>
      <c r="E86" s="21" t="n">
        <v>15472</v>
      </c>
      <c r="F86" s="21" t="n">
        <v>728</v>
      </c>
      <c r="G86" s="21" t="n">
        <v>578</v>
      </c>
      <c r="H86" s="21" t="n">
        <v>43</v>
      </c>
      <c r="I86" s="21" t="n">
        <v>21</v>
      </c>
      <c r="J86" s="21" t="n">
        <v>14</v>
      </c>
      <c r="K86" s="20" t="n">
        <v>10085.57</v>
      </c>
    </row>
    <row r="87">
      <c r="A87" s="19" t="n">
        <v>46260</v>
      </c>
      <c r="B87" t="inlineStr">
        <is>
          <t>TikTok</t>
        </is>
      </c>
      <c r="C87" s="20" t="n">
        <v>1400.19</v>
      </c>
      <c r="D87" s="21" t="n">
        <v>31352</v>
      </c>
      <c r="E87" s="21" t="n">
        <v>17594</v>
      </c>
      <c r="F87" s="21" t="n">
        <v>365</v>
      </c>
      <c r="G87" s="21" t="inlineStr"/>
      <c r="H87" s="21" t="n">
        <v>21</v>
      </c>
      <c r="I87" s="21" t="n">
        <v>9</v>
      </c>
      <c r="J87" s="21" t="n">
        <v>6</v>
      </c>
      <c r="K87" s="20" t="n">
        <v>3680.93</v>
      </c>
    </row>
    <row r="88">
      <c r="A88" s="19" t="n">
        <v>46261</v>
      </c>
      <c r="B88" t="inlineStr">
        <is>
          <t>Meta</t>
        </is>
      </c>
      <c r="C88" s="20" t="n">
        <v>3354.56</v>
      </c>
      <c r="D88" s="21" t="n">
        <v>49022</v>
      </c>
      <c r="E88" s="21" t="n">
        <v>25050</v>
      </c>
      <c r="F88" s="21" t="n">
        <v>698</v>
      </c>
      <c r="G88" s="21" t="n">
        <v>516</v>
      </c>
      <c r="H88" s="21" t="n">
        <v>37</v>
      </c>
      <c r="I88" s="21" t="n">
        <v>19</v>
      </c>
      <c r="J88" s="21" t="n">
        <v>15</v>
      </c>
      <c r="K88" s="20" t="n">
        <v>10808.74</v>
      </c>
    </row>
    <row r="89">
      <c r="A89" s="19" t="n">
        <v>46261</v>
      </c>
      <c r="B89" t="inlineStr">
        <is>
          <t>TikTok</t>
        </is>
      </c>
      <c r="C89" s="20" t="n">
        <v>1511.08</v>
      </c>
      <c r="D89" s="21" t="n">
        <v>31825</v>
      </c>
      <c r="E89" s="21" t="n">
        <v>14076</v>
      </c>
      <c r="F89" s="21" t="n">
        <v>341</v>
      </c>
      <c r="G89" s="21" t="inlineStr"/>
      <c r="H89" s="21" t="n">
        <v>24</v>
      </c>
      <c r="I89" s="21" t="n">
        <v>10</v>
      </c>
      <c r="J89" s="21" t="n">
        <v>6</v>
      </c>
      <c r="K89" s="20" t="n">
        <v>4072.43</v>
      </c>
    </row>
    <row r="90">
      <c r="A90" s="19" t="n">
        <v>46262</v>
      </c>
      <c r="B90" t="inlineStr">
        <is>
          <t>Meta</t>
        </is>
      </c>
      <c r="C90" s="20" t="n">
        <v>3436.49</v>
      </c>
      <c r="D90" s="21" t="n">
        <v>48600</v>
      </c>
      <c r="E90" s="21" t="n">
        <v>18811</v>
      </c>
      <c r="F90" s="21" t="n">
        <v>770</v>
      </c>
      <c r="G90" s="21" t="n">
        <v>605</v>
      </c>
      <c r="H90" s="21" t="n">
        <v>41</v>
      </c>
      <c r="I90" s="21" t="n">
        <v>19</v>
      </c>
      <c r="J90" s="21" t="n">
        <v>15</v>
      </c>
      <c r="K90" s="20" t="n">
        <v>10093.68</v>
      </c>
    </row>
    <row r="91">
      <c r="A91" s="19" t="n">
        <v>46262</v>
      </c>
      <c r="B91" t="inlineStr">
        <is>
          <t>TikTok</t>
        </is>
      </c>
      <c r="C91" s="20" t="n">
        <v>1777.59</v>
      </c>
      <c r="D91" s="21" t="n">
        <v>37623</v>
      </c>
      <c r="E91" s="21" t="n">
        <v>22566</v>
      </c>
      <c r="F91" s="21" t="n">
        <v>390</v>
      </c>
      <c r="G91" s="21" t="inlineStr"/>
      <c r="H91" s="21" t="n">
        <v>28</v>
      </c>
      <c r="I91" s="21" t="n">
        <v>13</v>
      </c>
      <c r="J91" s="21" t="n">
        <v>9</v>
      </c>
      <c r="K91" s="20" t="n">
        <v>5278.77</v>
      </c>
    </row>
    <row r="92">
      <c r="A92" s="19" t="n">
        <v>46263</v>
      </c>
      <c r="B92" t="inlineStr">
        <is>
          <t>Meta</t>
        </is>
      </c>
      <c r="C92" s="20" t="n">
        <v>3767.33</v>
      </c>
      <c r="D92" s="21" t="n">
        <v>53858</v>
      </c>
      <c r="E92" s="21" t="n">
        <v>25928</v>
      </c>
      <c r="F92" s="21" t="n">
        <v>961</v>
      </c>
      <c r="G92" s="21" t="n">
        <v>661</v>
      </c>
      <c r="H92" s="21" t="n">
        <v>50</v>
      </c>
      <c r="I92" s="21" t="n">
        <v>22</v>
      </c>
      <c r="J92" s="21" t="n">
        <v>16</v>
      </c>
      <c r="K92" s="20" t="n">
        <v>11760.52</v>
      </c>
    </row>
    <row r="93">
      <c r="A93" s="19" t="n">
        <v>46263</v>
      </c>
      <c r="B93" t="inlineStr">
        <is>
          <t>TikTok</t>
        </is>
      </c>
      <c r="C93" s="20" t="n">
        <v>1804.01</v>
      </c>
      <c r="D93" s="21" t="n">
        <v>36434</v>
      </c>
      <c r="E93" s="21" t="n">
        <v>18308</v>
      </c>
      <c r="F93" s="21" t="n">
        <v>381</v>
      </c>
      <c r="G93" s="21" t="inlineStr"/>
      <c r="H93" s="21" t="n">
        <v>22</v>
      </c>
      <c r="I93" s="21" t="n">
        <v>9</v>
      </c>
      <c r="J93" s="21" t="n">
        <v>6</v>
      </c>
      <c r="K93" s="20" t="n">
        <v>3635.24</v>
      </c>
    </row>
    <row r="94">
      <c r="A94" s="19" t="n">
        <v>46264</v>
      </c>
      <c r="B94" t="inlineStr">
        <is>
          <t>Meta</t>
        </is>
      </c>
      <c r="C94" s="20" t="n">
        <v>3612.21</v>
      </c>
      <c r="D94" s="21" t="n">
        <v>50519</v>
      </c>
      <c r="E94" s="21" t="n">
        <v>22627</v>
      </c>
      <c r="F94" s="21" t="n">
        <v>721</v>
      </c>
      <c r="G94" s="21" t="n">
        <v>527</v>
      </c>
      <c r="H94" s="21" t="n">
        <v>38</v>
      </c>
      <c r="I94" s="21" t="n">
        <v>19</v>
      </c>
      <c r="J94" s="21" t="n">
        <v>13</v>
      </c>
      <c r="K94" s="20" t="n">
        <v>8551.17</v>
      </c>
    </row>
    <row r="95">
      <c r="A95" s="19" t="n">
        <v>46264</v>
      </c>
      <c r="B95" t="inlineStr">
        <is>
          <t>TikTok</t>
        </is>
      </c>
      <c r="C95" s="20" t="n">
        <v>1436.55</v>
      </c>
      <c r="D95" s="21" t="n">
        <v>28942</v>
      </c>
      <c r="E95" s="21" t="n">
        <v>12700</v>
      </c>
      <c r="F95" s="21" t="n">
        <v>302</v>
      </c>
      <c r="G95" s="21" t="inlineStr"/>
      <c r="H95" s="21" t="n">
        <v>22</v>
      </c>
      <c r="I95" s="21" t="n">
        <v>10</v>
      </c>
      <c r="J95" s="21" t="n">
        <v>7</v>
      </c>
      <c r="K95" s="20" t="n">
        <v>4106.04</v>
      </c>
    </row>
    <row r="96">
      <c r="A96" s="19" t="n">
        <v>46265</v>
      </c>
      <c r="B96" t="inlineStr">
        <is>
          <t>Meta</t>
        </is>
      </c>
      <c r="C96" s="20" t="n">
        <v>3020.17</v>
      </c>
      <c r="D96" s="21" t="n">
        <v>40555</v>
      </c>
      <c r="E96" s="21" t="n">
        <v>18261</v>
      </c>
      <c r="F96" s="21" t="n">
        <v>639</v>
      </c>
      <c r="G96" s="21" t="n">
        <v>496</v>
      </c>
      <c r="H96" s="21" t="n">
        <v>39</v>
      </c>
      <c r="I96" s="21" t="n">
        <v>17</v>
      </c>
      <c r="J96" s="21" t="n">
        <v>13</v>
      </c>
      <c r="K96" s="20" t="n">
        <v>8717.68</v>
      </c>
    </row>
    <row r="97">
      <c r="A97" s="19" t="n">
        <v>46265</v>
      </c>
      <c r="B97" t="inlineStr">
        <is>
          <t>TikTok</t>
        </is>
      </c>
      <c r="C97" s="20" t="n">
        <v>1453.78</v>
      </c>
      <c r="D97" s="21" t="n">
        <v>29865</v>
      </c>
      <c r="E97" s="21" t="n">
        <v>15527</v>
      </c>
      <c r="F97" s="21" t="n">
        <v>395</v>
      </c>
      <c r="G97" s="21" t="inlineStr"/>
      <c r="H97" s="21" t="n">
        <v>29</v>
      </c>
      <c r="I97" s="21" t="n">
        <v>13</v>
      </c>
      <c r="J97" s="21" t="n">
        <v>8</v>
      </c>
      <c r="K97" s="20" t="n">
        <v>5015.42</v>
      </c>
    </row>
    <row r="98">
      <c r="A98" s="19" t="n">
        <v>46266</v>
      </c>
      <c r="B98" t="inlineStr">
        <is>
          <t>Meta</t>
        </is>
      </c>
      <c r="C98" s="20" t="n">
        <v>3590.11</v>
      </c>
      <c r="D98" s="21" t="n">
        <v>50221</v>
      </c>
      <c r="E98" s="21" t="n">
        <v>19639</v>
      </c>
      <c r="F98" s="21" t="n">
        <v>745</v>
      </c>
      <c r="G98" s="21" t="n">
        <v>510</v>
      </c>
      <c r="H98" s="21" t="n">
        <v>42</v>
      </c>
      <c r="I98" s="21" t="n">
        <v>21</v>
      </c>
      <c r="J98" s="21" t="n">
        <v>16</v>
      </c>
      <c r="K98" s="20" t="n">
        <v>10676.7</v>
      </c>
    </row>
    <row r="99">
      <c r="A99" s="19" t="n">
        <v>46266</v>
      </c>
      <c r="B99" t="inlineStr">
        <is>
          <t>TikTok</t>
        </is>
      </c>
      <c r="C99" s="20" t="n">
        <v>1483.29</v>
      </c>
      <c r="D99" s="21" t="n">
        <v>32014</v>
      </c>
      <c r="E99" s="21" t="n">
        <v>14080</v>
      </c>
      <c r="F99" s="21" t="n">
        <v>380</v>
      </c>
      <c r="G99" s="21" t="inlineStr"/>
      <c r="H99" s="21" t="n">
        <v>25</v>
      </c>
      <c r="I99" s="21" t="n">
        <v>12</v>
      </c>
      <c r="J99" s="21" t="n">
        <v>8</v>
      </c>
      <c r="K99" s="20" t="n">
        <v>4784.94</v>
      </c>
    </row>
    <row r="100">
      <c r="A100" s="19" t="n">
        <v>46267</v>
      </c>
      <c r="B100" t="inlineStr">
        <is>
          <t>Meta</t>
        </is>
      </c>
      <c r="C100" s="20" t="n">
        <v>3533.08</v>
      </c>
      <c r="D100" s="21" t="n">
        <v>50264</v>
      </c>
      <c r="E100" s="21" t="n">
        <v>22976</v>
      </c>
      <c r="F100" s="21" t="n">
        <v>740</v>
      </c>
      <c r="G100" s="21" t="n">
        <v>594</v>
      </c>
      <c r="H100" s="21" t="n">
        <v>42</v>
      </c>
      <c r="I100" s="21" t="n">
        <v>20</v>
      </c>
      <c r="J100" s="21" t="n">
        <v>15</v>
      </c>
      <c r="K100" s="20" t="n">
        <v>10297.8</v>
      </c>
    </row>
    <row r="101">
      <c r="A101" s="19" t="n">
        <v>46267</v>
      </c>
      <c r="B101" t="inlineStr">
        <is>
          <t>TikTok</t>
        </is>
      </c>
      <c r="C101" s="20" t="n">
        <v>1602.3</v>
      </c>
      <c r="D101" s="21" t="n">
        <v>32632</v>
      </c>
      <c r="E101" s="21" t="n">
        <v>20377</v>
      </c>
      <c r="F101" s="21" t="n">
        <v>434</v>
      </c>
      <c r="G101" s="21" t="inlineStr"/>
      <c r="H101" s="21" t="n">
        <v>31</v>
      </c>
      <c r="I101" s="21" t="n">
        <v>14</v>
      </c>
      <c r="J101" s="21" t="n">
        <v>10</v>
      </c>
      <c r="K101" s="20" t="n">
        <v>5691.84</v>
      </c>
    </row>
    <row r="102">
      <c r="A102" s="19" t="n">
        <v>46268</v>
      </c>
      <c r="B102" t="inlineStr">
        <is>
          <t>Meta</t>
        </is>
      </c>
      <c r="C102" s="20" t="n">
        <v>3502.56</v>
      </c>
      <c r="D102" s="21" t="n">
        <v>47509</v>
      </c>
      <c r="E102" s="21" t="n">
        <v>19258</v>
      </c>
      <c r="F102" s="21" t="n">
        <v>718</v>
      </c>
      <c r="G102" s="21" t="n">
        <v>568</v>
      </c>
      <c r="H102" s="21" t="n">
        <v>45</v>
      </c>
      <c r="I102" s="21" t="n">
        <v>19</v>
      </c>
      <c r="J102" s="21" t="n">
        <v>14</v>
      </c>
      <c r="K102" s="20" t="n">
        <v>9988.4</v>
      </c>
    </row>
    <row r="103">
      <c r="A103" s="19" t="n">
        <v>46268</v>
      </c>
      <c r="B103" t="inlineStr">
        <is>
          <t>TikTok</t>
        </is>
      </c>
      <c r="C103" s="20" t="n">
        <v>1574</v>
      </c>
      <c r="D103" s="21" t="n">
        <v>31252</v>
      </c>
      <c r="E103" s="21" t="n">
        <v>14271</v>
      </c>
      <c r="F103" s="21" t="n">
        <v>423</v>
      </c>
      <c r="G103" s="21" t="inlineStr"/>
      <c r="H103" s="21" t="n">
        <v>29</v>
      </c>
      <c r="I103" s="21" t="n">
        <v>11</v>
      </c>
      <c r="J103" s="21" t="n">
        <v>7</v>
      </c>
      <c r="K103" s="20" t="n">
        <v>4623.28</v>
      </c>
    </row>
    <row r="104">
      <c r="A104" s="19" t="n">
        <v>46269</v>
      </c>
      <c r="B104" t="inlineStr">
        <is>
          <t>Meta</t>
        </is>
      </c>
      <c r="C104" s="20" t="n">
        <v>3540.27</v>
      </c>
      <c r="D104" s="21" t="n">
        <v>50435</v>
      </c>
      <c r="E104" s="21" t="n">
        <v>19616</v>
      </c>
      <c r="F104" s="21" t="n">
        <v>741</v>
      </c>
      <c r="G104" s="21" t="n">
        <v>506</v>
      </c>
      <c r="H104" s="21" t="n">
        <v>32</v>
      </c>
      <c r="I104" s="21" t="n">
        <v>15</v>
      </c>
      <c r="J104" s="21" t="n">
        <v>11</v>
      </c>
      <c r="K104" s="20" t="n">
        <v>7473.35</v>
      </c>
    </row>
    <row r="105">
      <c r="A105" s="19" t="n">
        <v>46269</v>
      </c>
      <c r="B105" t="inlineStr">
        <is>
          <t>TikTok</t>
        </is>
      </c>
      <c r="C105" s="20" t="n">
        <v>1613.96</v>
      </c>
      <c r="D105" s="21" t="n">
        <v>33443</v>
      </c>
      <c r="E105" s="21" t="n">
        <v>17980</v>
      </c>
      <c r="F105" s="21" t="n">
        <v>431</v>
      </c>
      <c r="G105" s="21" t="inlineStr"/>
      <c r="H105" s="21" t="n">
        <v>27</v>
      </c>
      <c r="I105" s="21" t="n">
        <v>11</v>
      </c>
      <c r="J105" s="21" t="n">
        <v>7</v>
      </c>
      <c r="K105" s="20" t="n">
        <v>4300.75</v>
      </c>
    </row>
    <row r="106">
      <c r="A106" s="19" t="n">
        <v>46270</v>
      </c>
      <c r="B106" t="inlineStr">
        <is>
          <t>Meta</t>
        </is>
      </c>
      <c r="C106" s="20" t="n">
        <v>3879.81</v>
      </c>
      <c r="D106" s="21" t="n">
        <v>53651</v>
      </c>
      <c r="E106" s="21" t="n">
        <v>24602</v>
      </c>
      <c r="F106" s="21" t="n">
        <v>828</v>
      </c>
      <c r="G106" s="21" t="n">
        <v>613</v>
      </c>
      <c r="H106" s="21" t="n">
        <v>46</v>
      </c>
      <c r="I106" s="21" t="n">
        <v>20</v>
      </c>
      <c r="J106" s="21" t="n">
        <v>16</v>
      </c>
      <c r="K106" s="20" t="n">
        <v>11348.04</v>
      </c>
    </row>
    <row r="107">
      <c r="A107" s="19" t="n">
        <v>46270</v>
      </c>
      <c r="B107" t="inlineStr">
        <is>
          <t>TikTok</t>
        </is>
      </c>
      <c r="C107" s="20" t="n">
        <v>1777.46</v>
      </c>
      <c r="D107" s="21" t="n">
        <v>35117</v>
      </c>
      <c r="E107" s="21" t="n">
        <v>18700</v>
      </c>
      <c r="F107" s="21" t="n">
        <v>452</v>
      </c>
      <c r="G107" s="21" t="inlineStr"/>
      <c r="H107" s="21" t="n">
        <v>32</v>
      </c>
      <c r="I107" s="21" t="n">
        <v>12</v>
      </c>
      <c r="J107" s="21" t="n">
        <v>8</v>
      </c>
      <c r="K107" s="20" t="n">
        <v>5228.84</v>
      </c>
    </row>
    <row r="108">
      <c r="A108" s="19" t="n">
        <v>46271</v>
      </c>
      <c r="B108" t="inlineStr">
        <is>
          <t>Meta</t>
        </is>
      </c>
      <c r="C108" s="20" t="n">
        <v>3299.67</v>
      </c>
      <c r="D108" s="21" t="n">
        <v>42852</v>
      </c>
      <c r="E108" s="21" t="n">
        <v>18274</v>
      </c>
      <c r="F108" s="21" t="n">
        <v>655</v>
      </c>
      <c r="G108" s="21" t="n">
        <v>479</v>
      </c>
      <c r="H108" s="21" t="n">
        <v>34</v>
      </c>
      <c r="I108" s="21" t="n">
        <v>14</v>
      </c>
      <c r="J108" s="21" t="n">
        <v>12</v>
      </c>
      <c r="K108" s="20" t="n">
        <v>8405.08</v>
      </c>
    </row>
    <row r="109">
      <c r="A109" s="19" t="n">
        <v>46271</v>
      </c>
      <c r="B109" t="inlineStr">
        <is>
          <t>TikTok</t>
        </is>
      </c>
      <c r="C109" s="20" t="n">
        <v>1436.4</v>
      </c>
      <c r="D109" s="21" t="n">
        <v>28285</v>
      </c>
      <c r="E109" s="21" t="n">
        <v>13807</v>
      </c>
      <c r="F109" s="21" t="n">
        <v>377</v>
      </c>
      <c r="G109" s="21" t="inlineStr"/>
      <c r="H109" s="21" t="n">
        <v>27</v>
      </c>
      <c r="I109" s="21" t="n">
        <v>13</v>
      </c>
      <c r="J109" s="21" t="n">
        <v>9</v>
      </c>
      <c r="K109" s="20" t="n">
        <v>5543.1</v>
      </c>
    </row>
    <row r="110">
      <c r="A110" s="19" t="n">
        <v>46272</v>
      </c>
      <c r="B110" t="inlineStr">
        <is>
          <t>Meta</t>
        </is>
      </c>
      <c r="C110" s="20" t="n">
        <v>3092.66</v>
      </c>
      <c r="D110" s="21" t="n">
        <v>42968</v>
      </c>
      <c r="E110" s="21" t="n">
        <v>18187</v>
      </c>
      <c r="F110" s="21" t="n">
        <v>615</v>
      </c>
      <c r="G110" s="21" t="n">
        <v>449</v>
      </c>
      <c r="H110" s="21" t="n">
        <v>31</v>
      </c>
      <c r="I110" s="21" t="n">
        <v>13</v>
      </c>
      <c r="J110" s="21" t="n">
        <v>11</v>
      </c>
      <c r="K110" s="20" t="n">
        <v>7001.01</v>
      </c>
    </row>
    <row r="111">
      <c r="A111" s="19" t="n">
        <v>46272</v>
      </c>
      <c r="B111" t="inlineStr">
        <is>
          <t>TikTok</t>
        </is>
      </c>
      <c r="C111" s="20" t="n">
        <v>1410.31</v>
      </c>
      <c r="D111" s="21" t="n">
        <v>28873</v>
      </c>
      <c r="E111" s="21" t="n">
        <v>14932</v>
      </c>
      <c r="F111" s="21" t="n">
        <v>348</v>
      </c>
      <c r="G111" s="21" t="inlineStr"/>
      <c r="H111" s="21" t="n">
        <v>22</v>
      </c>
      <c r="I111" s="21" t="n">
        <v>9</v>
      </c>
      <c r="J111" s="21" t="n">
        <v>6</v>
      </c>
      <c r="K111" s="20" t="n">
        <v>3351.87</v>
      </c>
    </row>
    <row r="112">
      <c r="A112" s="19" t="n">
        <v>46273</v>
      </c>
      <c r="B112" t="inlineStr">
        <is>
          <t>Meta</t>
        </is>
      </c>
      <c r="C112" s="20" t="n">
        <v>2313.52</v>
      </c>
      <c r="D112" s="21" t="n">
        <v>30921</v>
      </c>
      <c r="E112" s="21" t="n">
        <v>11561</v>
      </c>
      <c r="F112" s="21" t="n">
        <v>450</v>
      </c>
      <c r="G112" s="21" t="n">
        <v>320</v>
      </c>
      <c r="H112" s="21" t="n">
        <v>26</v>
      </c>
      <c r="I112" s="21" t="n">
        <v>12</v>
      </c>
      <c r="J112" s="21" t="n">
        <v>10</v>
      </c>
      <c r="K112" s="20" t="n">
        <v>6935.49</v>
      </c>
    </row>
    <row r="113">
      <c r="A113" s="19" t="n">
        <v>46273</v>
      </c>
      <c r="B113" t="inlineStr">
        <is>
          <t>TikTok</t>
        </is>
      </c>
      <c r="C113" s="20" t="n">
        <v>1042.34</v>
      </c>
      <c r="D113" s="21" t="n">
        <v>22421</v>
      </c>
      <c r="E113" s="21" t="n">
        <v>13495</v>
      </c>
      <c r="F113" s="21" t="n">
        <v>272</v>
      </c>
      <c r="G113" s="21" t="inlineStr"/>
      <c r="H113" s="21" t="n">
        <v>17</v>
      </c>
      <c r="I113" s="21" t="n">
        <v>6</v>
      </c>
      <c r="J113" s="21" t="n">
        <v>4</v>
      </c>
      <c r="K113" s="20" t="n">
        <v>2584.24</v>
      </c>
    </row>
    <row r="114">
      <c r="A114" s="19" t="n">
        <v>46274</v>
      </c>
      <c r="B114" t="inlineStr">
        <is>
          <t>Meta</t>
        </is>
      </c>
      <c r="C114" s="20" t="n">
        <v>2235.95</v>
      </c>
      <c r="D114" s="21" t="n">
        <v>30882</v>
      </c>
      <c r="E114" s="21" t="n">
        <v>14898</v>
      </c>
      <c r="F114" s="21" t="n">
        <v>563</v>
      </c>
      <c r="G114" s="21" t="n">
        <v>384</v>
      </c>
      <c r="H114" s="21" t="n">
        <v>27</v>
      </c>
      <c r="I114" s="21" t="n">
        <v>12</v>
      </c>
      <c r="J114" s="21" t="n">
        <v>10</v>
      </c>
      <c r="K114" s="20" t="n">
        <v>6732.5</v>
      </c>
    </row>
    <row r="115">
      <c r="A115" s="19" t="n">
        <v>46274</v>
      </c>
      <c r="B115" t="inlineStr">
        <is>
          <t>TikTok</t>
        </is>
      </c>
      <c r="C115" s="20" t="n">
        <v>1047.55</v>
      </c>
      <c r="D115" s="21" t="n">
        <v>22054</v>
      </c>
      <c r="E115" s="21" t="n">
        <v>10085</v>
      </c>
      <c r="F115" s="21" t="n">
        <v>225</v>
      </c>
      <c r="G115" s="21" t="inlineStr"/>
      <c r="H115" s="21" t="n">
        <v>14</v>
      </c>
      <c r="I115" s="21" t="n">
        <v>5</v>
      </c>
      <c r="J115" s="21" t="n">
        <v>4</v>
      </c>
      <c r="K115" s="20" t="n">
        <v>2269.85</v>
      </c>
    </row>
    <row r="116">
      <c r="A116" s="19" t="n">
        <v>46275</v>
      </c>
      <c r="B116" t="inlineStr">
        <is>
          <t>Meta</t>
        </is>
      </c>
      <c r="C116" s="20" t="n">
        <v>2578.43</v>
      </c>
      <c r="D116" s="21" t="n">
        <v>33574</v>
      </c>
      <c r="E116" s="21" t="n">
        <v>16870</v>
      </c>
      <c r="F116" s="21" t="n">
        <v>601</v>
      </c>
      <c r="G116" s="21" t="n">
        <v>462</v>
      </c>
      <c r="H116" s="21" t="n">
        <v>37</v>
      </c>
      <c r="I116" s="21" t="n">
        <v>17</v>
      </c>
      <c r="J116" s="21" t="n">
        <v>13</v>
      </c>
      <c r="K116" s="20" t="n">
        <v>8749.719999999999</v>
      </c>
    </row>
    <row r="117">
      <c r="A117" s="19" t="n">
        <v>46275</v>
      </c>
      <c r="B117" t="inlineStr">
        <is>
          <t>TikTok</t>
        </is>
      </c>
      <c r="C117" s="20" t="n">
        <v>1010.97</v>
      </c>
      <c r="D117" s="21" t="n">
        <v>21848</v>
      </c>
      <c r="E117" s="21" t="n">
        <v>10922</v>
      </c>
      <c r="F117" s="21" t="n">
        <v>296</v>
      </c>
      <c r="G117" s="21" t="inlineStr"/>
      <c r="H117" s="21" t="n">
        <v>22</v>
      </c>
      <c r="I117" s="21" t="n">
        <v>8</v>
      </c>
      <c r="J117" s="21" t="n">
        <v>6</v>
      </c>
      <c r="K117" s="20" t="n">
        <v>3489.84</v>
      </c>
    </row>
    <row r="118">
      <c r="A118" s="19" t="n">
        <v>46276</v>
      </c>
      <c r="B118" t="inlineStr">
        <is>
          <t>Meta</t>
        </is>
      </c>
      <c r="C118" s="20" t="n">
        <v>2494.61</v>
      </c>
      <c r="D118" s="21" t="n">
        <v>34256</v>
      </c>
      <c r="E118" s="21" t="n">
        <v>14412</v>
      </c>
      <c r="F118" s="21" t="n">
        <v>585</v>
      </c>
      <c r="G118" s="21" t="n">
        <v>453</v>
      </c>
      <c r="H118" s="21" t="n">
        <v>34</v>
      </c>
      <c r="I118" s="21" t="n">
        <v>16</v>
      </c>
      <c r="J118" s="21" t="n">
        <v>12</v>
      </c>
      <c r="K118" s="20" t="n">
        <v>8767.110000000001</v>
      </c>
    </row>
    <row r="119">
      <c r="A119" s="19" t="n">
        <v>46276</v>
      </c>
      <c r="B119" t="inlineStr">
        <is>
          <t>TikTok</t>
        </is>
      </c>
      <c r="C119" s="20" t="n">
        <v>1310.34</v>
      </c>
      <c r="D119" s="21" t="n">
        <v>27154</v>
      </c>
      <c r="E119" s="21" t="n">
        <v>16414</v>
      </c>
      <c r="F119" s="21" t="n">
        <v>287</v>
      </c>
      <c r="G119" s="21" t="inlineStr"/>
      <c r="H119" s="21" t="n">
        <v>17</v>
      </c>
      <c r="I119" s="21" t="n">
        <v>8</v>
      </c>
      <c r="J119" s="21" t="n">
        <v>5</v>
      </c>
      <c r="K119" s="20" t="n">
        <v>3209.31</v>
      </c>
    </row>
    <row r="120">
      <c r="A120" s="19" t="n">
        <v>46277</v>
      </c>
      <c r="B120" t="inlineStr">
        <is>
          <t>Meta</t>
        </is>
      </c>
      <c r="C120" s="20" t="n">
        <v>2574.89</v>
      </c>
      <c r="D120" s="21" t="n">
        <v>35517</v>
      </c>
      <c r="E120" s="21" t="n">
        <v>16167</v>
      </c>
      <c r="F120" s="21" t="n">
        <v>504</v>
      </c>
      <c r="G120" s="21" t="n">
        <v>393</v>
      </c>
      <c r="H120" s="21" t="n">
        <v>26</v>
      </c>
      <c r="I120" s="21" t="n">
        <v>13</v>
      </c>
      <c r="J120" s="21" t="n">
        <v>10</v>
      </c>
      <c r="K120" s="20" t="n">
        <v>6501.21</v>
      </c>
    </row>
    <row r="121">
      <c r="A121" s="19" t="n">
        <v>46277</v>
      </c>
      <c r="B121" t="inlineStr">
        <is>
          <t>TikTok</t>
        </is>
      </c>
      <c r="C121" s="20" t="n">
        <v>1156.21</v>
      </c>
      <c r="D121" s="21" t="n">
        <v>22499</v>
      </c>
      <c r="E121" s="21" t="n">
        <v>10755</v>
      </c>
      <c r="F121" s="21" t="n">
        <v>251</v>
      </c>
      <c r="G121" s="21" t="inlineStr"/>
      <c r="H121" s="21" t="n">
        <v>14</v>
      </c>
      <c r="I121" s="21" t="n">
        <v>7</v>
      </c>
      <c r="J121" s="21" t="n">
        <v>4</v>
      </c>
      <c r="K121" s="20" t="n">
        <v>2636.97</v>
      </c>
    </row>
    <row r="122">
      <c r="A122" s="19" t="n">
        <v>46278</v>
      </c>
      <c r="B122" t="inlineStr">
        <is>
          <t>Meta</t>
        </is>
      </c>
      <c r="C122" s="20" t="n">
        <v>2560.21</v>
      </c>
      <c r="D122" s="21" t="n">
        <v>32811</v>
      </c>
      <c r="E122" s="21" t="n">
        <v>13060</v>
      </c>
      <c r="F122" s="21" t="n">
        <v>472</v>
      </c>
      <c r="G122" s="21" t="n">
        <v>327</v>
      </c>
      <c r="H122" s="21" t="n">
        <v>25</v>
      </c>
      <c r="I122" s="21" t="n">
        <v>13</v>
      </c>
      <c r="J122" s="21" t="n">
        <v>10</v>
      </c>
      <c r="K122" s="20" t="n">
        <v>6331.46</v>
      </c>
    </row>
    <row r="123">
      <c r="A123" s="19" t="n">
        <v>46278</v>
      </c>
      <c r="B123" t="inlineStr">
        <is>
          <t>TikTok</t>
        </is>
      </c>
      <c r="C123" s="20" t="n">
        <v>1256.71</v>
      </c>
      <c r="D123" s="21" t="n">
        <v>26306</v>
      </c>
      <c r="E123" s="21" t="n">
        <v>13306</v>
      </c>
      <c r="F123" s="21" t="n">
        <v>316</v>
      </c>
      <c r="G123" s="21" t="inlineStr"/>
      <c r="H123" s="21" t="n">
        <v>19</v>
      </c>
      <c r="I123" s="21" t="n">
        <v>8</v>
      </c>
      <c r="J123" s="21" t="n">
        <v>6</v>
      </c>
      <c r="K123" s="20" t="n">
        <v>3438.81</v>
      </c>
    </row>
    <row r="124">
      <c r="A124" s="19" t="n">
        <v>46279</v>
      </c>
      <c r="B124" t="inlineStr">
        <is>
          <t>Meta</t>
        </is>
      </c>
      <c r="C124" s="20" t="n">
        <v>2226.64</v>
      </c>
      <c r="D124" s="21" t="n">
        <v>29087</v>
      </c>
      <c r="E124" s="21" t="n">
        <v>12519</v>
      </c>
      <c r="F124" s="21" t="n">
        <v>435</v>
      </c>
      <c r="G124" s="21" t="n">
        <v>313</v>
      </c>
      <c r="H124" s="21" t="n">
        <v>22</v>
      </c>
      <c r="I124" s="21" t="n">
        <v>11</v>
      </c>
      <c r="J124" s="21" t="n">
        <v>8</v>
      </c>
      <c r="K124" s="20" t="n">
        <v>5852.64</v>
      </c>
    </row>
    <row r="125">
      <c r="A125" s="19" t="n">
        <v>46279</v>
      </c>
      <c r="B125" t="inlineStr">
        <is>
          <t>TikTok</t>
        </is>
      </c>
      <c r="C125" s="20" t="n">
        <v>1047.32</v>
      </c>
      <c r="D125" s="21" t="n">
        <v>21532</v>
      </c>
      <c r="E125" s="21" t="n">
        <v>11184</v>
      </c>
      <c r="F125" s="21" t="n">
        <v>258</v>
      </c>
      <c r="G125" s="21" t="inlineStr"/>
      <c r="H125" s="21" t="n">
        <v>19</v>
      </c>
      <c r="I125" s="21" t="n">
        <v>8</v>
      </c>
      <c r="J125" s="21" t="n">
        <v>6</v>
      </c>
      <c r="K125" s="20" t="n">
        <v>3255.22</v>
      </c>
    </row>
    <row r="126">
      <c r="A126" s="19" t="n">
        <v>46280</v>
      </c>
      <c r="B126" t="inlineStr">
        <is>
          <t>Meta</t>
        </is>
      </c>
      <c r="C126" s="20" t="n">
        <v>2426.71</v>
      </c>
      <c r="D126" s="21" t="n">
        <v>33479</v>
      </c>
      <c r="E126" s="21" t="n">
        <v>13854</v>
      </c>
      <c r="F126" s="21" t="n">
        <v>513</v>
      </c>
      <c r="G126" s="21" t="n">
        <v>420</v>
      </c>
      <c r="H126" s="21" t="n">
        <v>32</v>
      </c>
      <c r="I126" s="21" t="n">
        <v>14</v>
      </c>
      <c r="J126" s="21" t="n">
        <v>10</v>
      </c>
      <c r="K126" s="20" t="n">
        <v>7067.01</v>
      </c>
    </row>
    <row r="127">
      <c r="A127" s="19" t="n">
        <v>46280</v>
      </c>
      <c r="B127" t="inlineStr">
        <is>
          <t>TikTok</t>
        </is>
      </c>
      <c r="C127" s="20" t="n">
        <v>1067.17</v>
      </c>
      <c r="D127" s="21" t="n">
        <v>22338</v>
      </c>
      <c r="E127" s="21" t="n">
        <v>11943</v>
      </c>
      <c r="F127" s="21" t="n">
        <v>250</v>
      </c>
      <c r="G127" s="21" t="inlineStr"/>
      <c r="H127" s="21" t="n">
        <v>17</v>
      </c>
      <c r="I127" s="21" t="n">
        <v>8</v>
      </c>
      <c r="J127" s="21" t="n">
        <v>5</v>
      </c>
      <c r="K127" s="20" t="n">
        <v>3228.12</v>
      </c>
    </row>
    <row r="128">
      <c r="A128" s="19" t="n">
        <v>46281</v>
      </c>
      <c r="B128" t="inlineStr">
        <is>
          <t>Meta</t>
        </is>
      </c>
      <c r="C128" s="20" t="n">
        <v>3018.33</v>
      </c>
      <c r="D128" s="21" t="n">
        <v>41182</v>
      </c>
      <c r="E128" s="21" t="n">
        <v>18901</v>
      </c>
      <c r="F128" s="21" t="n">
        <v>704</v>
      </c>
      <c r="G128" s="21" t="n">
        <v>528</v>
      </c>
      <c r="H128" s="21" t="n">
        <v>35</v>
      </c>
      <c r="I128" s="21" t="n">
        <v>16</v>
      </c>
      <c r="J128" s="21" t="n">
        <v>11</v>
      </c>
      <c r="K128" s="20" t="n">
        <v>7639.01</v>
      </c>
    </row>
    <row r="129">
      <c r="A129" s="19" t="n">
        <v>46281</v>
      </c>
      <c r="B129" t="inlineStr">
        <is>
          <t>TikTok</t>
        </is>
      </c>
      <c r="C129" s="20" t="n">
        <v>1305.84</v>
      </c>
      <c r="D129" s="21" t="n">
        <v>27739</v>
      </c>
      <c r="E129" s="21" t="n">
        <v>13902</v>
      </c>
      <c r="F129" s="21" t="n">
        <v>349</v>
      </c>
      <c r="G129" s="21" t="inlineStr"/>
      <c r="H129" s="21" t="n">
        <v>19</v>
      </c>
      <c r="I129" s="21" t="n">
        <v>9</v>
      </c>
      <c r="J129" s="21" t="n">
        <v>6</v>
      </c>
      <c r="K129" s="20" t="n">
        <v>3927.19</v>
      </c>
    </row>
    <row r="130">
      <c r="A130" s="19" t="n">
        <v>46282</v>
      </c>
      <c r="B130" t="inlineStr">
        <is>
          <t>Meta</t>
        </is>
      </c>
      <c r="C130" s="20" t="n">
        <v>3302.02</v>
      </c>
      <c r="D130" s="21" t="n">
        <v>41838</v>
      </c>
      <c r="E130" s="21" t="n">
        <v>18340</v>
      </c>
      <c r="F130" s="21" t="n">
        <v>672</v>
      </c>
      <c r="G130" s="21" t="n">
        <v>460</v>
      </c>
      <c r="H130" s="21" t="n">
        <v>38</v>
      </c>
      <c r="I130" s="21" t="n">
        <v>19</v>
      </c>
      <c r="J130" s="21" t="n">
        <v>15</v>
      </c>
      <c r="K130" s="20" t="n">
        <v>10150.96</v>
      </c>
    </row>
    <row r="131">
      <c r="A131" s="19" t="n">
        <v>46282</v>
      </c>
      <c r="B131" t="inlineStr">
        <is>
          <t>TikTok</t>
        </is>
      </c>
      <c r="C131" s="20" t="n">
        <v>1434.91</v>
      </c>
      <c r="D131" s="21" t="n">
        <v>27705</v>
      </c>
      <c r="E131" s="21" t="n">
        <v>12653</v>
      </c>
      <c r="F131" s="21" t="n">
        <v>350</v>
      </c>
      <c r="G131" s="21" t="inlineStr"/>
      <c r="H131" s="21" t="n">
        <v>26</v>
      </c>
      <c r="I131" s="21" t="n">
        <v>11</v>
      </c>
      <c r="J131" s="21" t="n">
        <v>8</v>
      </c>
      <c r="K131" s="20" t="n">
        <v>4656.19</v>
      </c>
    </row>
    <row r="132">
      <c r="A132" s="19" t="n">
        <v>46283</v>
      </c>
      <c r="B132" t="inlineStr">
        <is>
          <t>Meta</t>
        </is>
      </c>
      <c r="C132" s="20" t="n">
        <v>3402.72</v>
      </c>
      <c r="D132" s="21" t="n">
        <v>45745</v>
      </c>
      <c r="E132" s="21" t="n">
        <v>18352</v>
      </c>
      <c r="F132" s="21" t="n">
        <v>813</v>
      </c>
      <c r="G132" s="21" t="n">
        <v>646</v>
      </c>
      <c r="H132" s="21" t="n">
        <v>43</v>
      </c>
      <c r="I132" s="21" t="n">
        <v>18</v>
      </c>
      <c r="J132" s="21" t="n">
        <v>14</v>
      </c>
      <c r="K132" s="20" t="n">
        <v>9018.049999999999</v>
      </c>
    </row>
    <row r="133">
      <c r="A133" s="19" t="n">
        <v>46283</v>
      </c>
      <c r="B133" t="inlineStr">
        <is>
          <t>TikTok</t>
        </is>
      </c>
      <c r="C133" s="20" t="n">
        <v>1532.28</v>
      </c>
      <c r="D133" s="21" t="n">
        <v>30169</v>
      </c>
      <c r="E133" s="21" t="n">
        <v>18518</v>
      </c>
      <c r="F133" s="21" t="n">
        <v>378</v>
      </c>
      <c r="G133" s="21" t="inlineStr"/>
      <c r="H133" s="21" t="n">
        <v>26</v>
      </c>
      <c r="I133" s="21" t="n">
        <v>12</v>
      </c>
      <c r="J133" s="21" t="n">
        <v>7</v>
      </c>
      <c r="K133" s="20" t="n">
        <v>4634.2</v>
      </c>
    </row>
    <row r="134">
      <c r="A134" s="19" t="n">
        <v>46284</v>
      </c>
      <c r="B134" t="inlineStr">
        <is>
          <t>Meta</t>
        </is>
      </c>
      <c r="C134" s="20" t="n">
        <v>3956.47</v>
      </c>
      <c r="D134" s="21" t="n">
        <v>51706</v>
      </c>
      <c r="E134" s="21" t="n">
        <v>22349</v>
      </c>
      <c r="F134" s="21" t="n">
        <v>872</v>
      </c>
      <c r="G134" s="21" t="n">
        <v>674</v>
      </c>
      <c r="H134" s="21" t="n">
        <v>46</v>
      </c>
      <c r="I134" s="21" t="n">
        <v>21</v>
      </c>
      <c r="J134" s="21" t="n">
        <v>17</v>
      </c>
      <c r="K134" s="20" t="n">
        <v>11777.72</v>
      </c>
    </row>
    <row r="135">
      <c r="A135" s="19" t="n">
        <v>46284</v>
      </c>
      <c r="B135" t="inlineStr">
        <is>
          <t>TikTok</t>
        </is>
      </c>
      <c r="C135" s="20" t="n">
        <v>1744.02</v>
      </c>
      <c r="D135" s="21" t="n">
        <v>34948</v>
      </c>
      <c r="E135" s="21" t="n">
        <v>15412</v>
      </c>
      <c r="F135" s="21" t="n">
        <v>473</v>
      </c>
      <c r="G135" s="21" t="inlineStr"/>
      <c r="H135" s="21" t="n">
        <v>34</v>
      </c>
      <c r="I135" s="21" t="n">
        <v>15</v>
      </c>
      <c r="J135" s="21" t="n">
        <v>10</v>
      </c>
      <c r="K135" s="20" t="n">
        <v>6328.02</v>
      </c>
    </row>
    <row r="136">
      <c r="A136" s="19" t="n">
        <v>46285</v>
      </c>
      <c r="B136" t="inlineStr">
        <is>
          <t>Meta</t>
        </is>
      </c>
      <c r="C136" s="20" t="n">
        <v>3481.39</v>
      </c>
      <c r="D136" s="21" t="n">
        <v>43447</v>
      </c>
      <c r="E136" s="21" t="n">
        <v>16132</v>
      </c>
      <c r="F136" s="21" t="n">
        <v>747</v>
      </c>
      <c r="G136" s="21" t="n">
        <v>567</v>
      </c>
      <c r="H136" s="21" t="n">
        <v>43</v>
      </c>
      <c r="I136" s="21" t="n">
        <v>19</v>
      </c>
      <c r="J136" s="21" t="n">
        <v>15</v>
      </c>
      <c r="K136" s="20" t="n">
        <v>10321.17</v>
      </c>
    </row>
    <row r="137">
      <c r="A137" s="19" t="n">
        <v>46285</v>
      </c>
      <c r="B137" t="inlineStr">
        <is>
          <t>TikTok</t>
        </is>
      </c>
      <c r="C137" s="20" t="n">
        <v>1730.5</v>
      </c>
      <c r="D137" s="21" t="n">
        <v>35752</v>
      </c>
      <c r="E137" s="21" t="n">
        <v>16937</v>
      </c>
      <c r="F137" s="21" t="n">
        <v>474</v>
      </c>
      <c r="G137" s="21" t="inlineStr"/>
      <c r="H137" s="21" t="n">
        <v>34</v>
      </c>
      <c r="I137" s="21" t="n">
        <v>14</v>
      </c>
      <c r="J137" s="21" t="n">
        <v>9</v>
      </c>
      <c r="K137" s="20" t="n">
        <v>5935.74</v>
      </c>
    </row>
    <row r="138">
      <c r="A138" s="19" t="n">
        <v>46286</v>
      </c>
      <c r="B138" t="inlineStr">
        <is>
          <t>Meta</t>
        </is>
      </c>
      <c r="C138" s="20" t="n">
        <v>3222.48</v>
      </c>
      <c r="D138" s="21" t="n">
        <v>42959</v>
      </c>
      <c r="E138" s="21" t="n">
        <v>21412</v>
      </c>
      <c r="F138" s="21" t="n">
        <v>616</v>
      </c>
      <c r="G138" s="21" t="n">
        <v>504</v>
      </c>
      <c r="H138" s="21" t="n">
        <v>35</v>
      </c>
      <c r="I138" s="21" t="n">
        <v>16</v>
      </c>
      <c r="J138" s="21" t="n">
        <v>12</v>
      </c>
      <c r="K138" s="20" t="n">
        <v>8080.1</v>
      </c>
    </row>
    <row r="139">
      <c r="A139" s="19" t="n">
        <v>46286</v>
      </c>
      <c r="B139" t="inlineStr">
        <is>
          <t>TikTok</t>
        </is>
      </c>
      <c r="C139" s="20" t="n">
        <v>1487.82</v>
      </c>
      <c r="D139" s="21" t="n">
        <v>29539</v>
      </c>
      <c r="E139" s="21" t="n">
        <v>14742</v>
      </c>
      <c r="F139" s="21" t="n">
        <v>390</v>
      </c>
      <c r="G139" s="21" t="inlineStr"/>
      <c r="H139" s="21" t="n">
        <v>25</v>
      </c>
      <c r="I139" s="21" t="n">
        <v>11</v>
      </c>
      <c r="J139" s="21" t="n">
        <v>7</v>
      </c>
      <c r="K139" s="20" t="n">
        <v>4304.58</v>
      </c>
    </row>
    <row r="140">
      <c r="A140" s="19" t="n">
        <v>46287</v>
      </c>
      <c r="B140" t="inlineStr">
        <is>
          <t>Meta</t>
        </is>
      </c>
      <c r="C140" s="20" t="n">
        <v>3079.22</v>
      </c>
      <c r="D140" s="21" t="n">
        <v>39068</v>
      </c>
      <c r="E140" s="21" t="n">
        <v>15193</v>
      </c>
      <c r="F140" s="21" t="n">
        <v>703</v>
      </c>
      <c r="G140" s="21" t="n">
        <v>495</v>
      </c>
      <c r="H140" s="21" t="n">
        <v>31</v>
      </c>
      <c r="I140" s="21" t="n">
        <v>14</v>
      </c>
      <c r="J140" s="21" t="n">
        <v>10</v>
      </c>
      <c r="K140" s="20" t="n">
        <v>6851.03</v>
      </c>
    </row>
    <row r="141">
      <c r="A141" s="19" t="n">
        <v>46287</v>
      </c>
      <c r="B141" t="inlineStr">
        <is>
          <t>TikTok</t>
        </is>
      </c>
      <c r="C141" s="20" t="n">
        <v>1374.39</v>
      </c>
      <c r="D141" s="21" t="n">
        <v>26881</v>
      </c>
      <c r="E141" s="21" t="n">
        <v>13910</v>
      </c>
      <c r="F141" s="21" t="n">
        <v>357</v>
      </c>
      <c r="G141" s="21" t="inlineStr"/>
      <c r="H141" s="21" t="n">
        <v>23</v>
      </c>
      <c r="I141" s="21" t="n">
        <v>10</v>
      </c>
      <c r="J141" s="21" t="n">
        <v>6</v>
      </c>
      <c r="K141" s="20" t="n">
        <v>4073.69</v>
      </c>
    </row>
    <row r="142">
      <c r="A142" s="19" t="n">
        <v>46288</v>
      </c>
      <c r="B142" t="inlineStr">
        <is>
          <t>Meta</t>
        </is>
      </c>
      <c r="C142" s="20" t="n">
        <v>3136.05</v>
      </c>
      <c r="D142" s="21" t="n">
        <v>39486</v>
      </c>
      <c r="E142" s="21" t="n">
        <v>17414</v>
      </c>
      <c r="F142" s="21" t="n">
        <v>677</v>
      </c>
      <c r="G142" s="21" t="n">
        <v>517</v>
      </c>
      <c r="H142" s="21" t="n">
        <v>41</v>
      </c>
      <c r="I142" s="21" t="n">
        <v>19</v>
      </c>
      <c r="J142" s="21" t="n">
        <v>13</v>
      </c>
      <c r="K142" s="20" t="n">
        <v>9221.84</v>
      </c>
    </row>
    <row r="143">
      <c r="A143" s="19" t="n">
        <v>46288</v>
      </c>
      <c r="B143" t="inlineStr">
        <is>
          <t>TikTok</t>
        </is>
      </c>
      <c r="C143" s="20" t="n">
        <v>1523.77</v>
      </c>
      <c r="D143" s="21" t="n">
        <v>31084</v>
      </c>
      <c r="E143" s="21" t="n">
        <v>18857</v>
      </c>
      <c r="F143" s="21" t="n">
        <v>366</v>
      </c>
      <c r="G143" s="21" t="inlineStr"/>
      <c r="H143" s="21" t="n">
        <v>21</v>
      </c>
      <c r="I143" s="21" t="n">
        <v>9</v>
      </c>
      <c r="J143" s="21" t="n">
        <v>6</v>
      </c>
      <c r="K143" s="20" t="n">
        <v>3604.67</v>
      </c>
    </row>
    <row r="144">
      <c r="A144" s="19" t="n">
        <v>46289</v>
      </c>
      <c r="B144" t="inlineStr">
        <is>
          <t>Meta</t>
        </is>
      </c>
      <c r="C144" s="20" t="n">
        <v>3124.23</v>
      </c>
      <c r="D144" s="21" t="n">
        <v>40897</v>
      </c>
      <c r="E144" s="21" t="n">
        <v>16316</v>
      </c>
      <c r="F144" s="21" t="n">
        <v>599</v>
      </c>
      <c r="G144" s="21" t="n">
        <v>483</v>
      </c>
      <c r="H144" s="21" t="n">
        <v>33</v>
      </c>
      <c r="I144" s="21" t="n">
        <v>15</v>
      </c>
      <c r="J144" s="21" t="n">
        <v>11</v>
      </c>
      <c r="K144" s="20" t="n">
        <v>8284.85</v>
      </c>
    </row>
    <row r="145">
      <c r="A145" s="19" t="n">
        <v>46289</v>
      </c>
      <c r="B145" t="inlineStr">
        <is>
          <t>TikTok</t>
        </is>
      </c>
      <c r="C145" s="20" t="n">
        <v>1444.28</v>
      </c>
      <c r="D145" s="21" t="n">
        <v>29297</v>
      </c>
      <c r="E145" s="21" t="n">
        <v>16737</v>
      </c>
      <c r="F145" s="21" t="n">
        <v>396</v>
      </c>
      <c r="G145" s="21" t="inlineStr"/>
      <c r="H145" s="21" t="n">
        <v>22</v>
      </c>
      <c r="I145" s="21" t="n">
        <v>9</v>
      </c>
      <c r="J145" s="21" t="n">
        <v>6</v>
      </c>
      <c r="K145" s="20" t="n">
        <v>3441.88</v>
      </c>
    </row>
    <row r="146">
      <c r="A146" s="19" t="n">
        <v>46290</v>
      </c>
      <c r="B146" t="inlineStr">
        <is>
          <t>Meta</t>
        </is>
      </c>
      <c r="C146" s="20" t="n">
        <v>3321.7</v>
      </c>
      <c r="D146" s="21" t="n">
        <v>41092</v>
      </c>
      <c r="E146" s="21" t="n">
        <v>16640</v>
      </c>
      <c r="F146" s="21" t="n">
        <v>699</v>
      </c>
      <c r="G146" s="21" t="n">
        <v>481</v>
      </c>
      <c r="H146" s="21" t="n">
        <v>31</v>
      </c>
      <c r="I146" s="21" t="n">
        <v>15</v>
      </c>
      <c r="J146" s="21" t="n">
        <v>11</v>
      </c>
      <c r="K146" s="20" t="n">
        <v>7806.55</v>
      </c>
    </row>
    <row r="147">
      <c r="A147" s="19" t="n">
        <v>46290</v>
      </c>
      <c r="B147" t="inlineStr">
        <is>
          <t>TikTok</t>
        </is>
      </c>
      <c r="C147" s="20" t="n">
        <v>1470.8</v>
      </c>
      <c r="D147" s="21" t="n">
        <v>30260</v>
      </c>
      <c r="E147" s="21" t="n">
        <v>15957</v>
      </c>
      <c r="F147" s="21" t="n">
        <v>325</v>
      </c>
      <c r="G147" s="21" t="inlineStr"/>
      <c r="H147" s="21" t="n">
        <v>23</v>
      </c>
      <c r="I147" s="21" t="n">
        <v>9</v>
      </c>
      <c r="J147" s="21" t="n">
        <v>6</v>
      </c>
      <c r="K147" s="20" t="n">
        <v>3664.88</v>
      </c>
    </row>
    <row r="148">
      <c r="A148" s="19" t="n">
        <v>46291</v>
      </c>
      <c r="B148" t="inlineStr">
        <is>
          <t>Meta</t>
        </is>
      </c>
      <c r="C148" s="20" t="n">
        <v>3906.08</v>
      </c>
      <c r="D148" s="21" t="n">
        <v>48825</v>
      </c>
      <c r="E148" s="21" t="n">
        <v>23235</v>
      </c>
      <c r="F148" s="21" t="n">
        <v>817</v>
      </c>
      <c r="G148" s="21" t="n">
        <v>664</v>
      </c>
      <c r="H148" s="21" t="n">
        <v>47</v>
      </c>
      <c r="I148" s="21" t="n">
        <v>23</v>
      </c>
      <c r="J148" s="21" t="n">
        <v>18</v>
      </c>
      <c r="K148" s="20" t="n">
        <v>11906.34</v>
      </c>
    </row>
    <row r="149">
      <c r="A149" s="19" t="n">
        <v>46291</v>
      </c>
      <c r="B149" t="inlineStr">
        <is>
          <t>TikTok</t>
        </is>
      </c>
      <c r="C149" s="20" t="n">
        <v>1656.2</v>
      </c>
      <c r="D149" s="21" t="n">
        <v>30915</v>
      </c>
      <c r="E149" s="21" t="n">
        <v>13516</v>
      </c>
      <c r="F149" s="21" t="n">
        <v>335</v>
      </c>
      <c r="G149" s="21" t="inlineStr"/>
      <c r="H149" s="21" t="n">
        <v>19</v>
      </c>
      <c r="I149" s="21" t="n">
        <v>8</v>
      </c>
      <c r="J149" s="21" t="n">
        <v>5</v>
      </c>
      <c r="K149" s="20" t="n">
        <v>3180.48</v>
      </c>
    </row>
    <row r="150">
      <c r="A150" s="19" t="n">
        <v>46292</v>
      </c>
      <c r="B150" t="inlineStr">
        <is>
          <t>Meta</t>
        </is>
      </c>
      <c r="C150" s="20" t="n">
        <v>3399.82</v>
      </c>
      <c r="D150" s="21" t="n">
        <v>43461</v>
      </c>
      <c r="E150" s="21" t="n">
        <v>20830</v>
      </c>
      <c r="F150" s="21" t="n">
        <v>702</v>
      </c>
      <c r="G150" s="21" t="n">
        <v>498</v>
      </c>
      <c r="H150" s="21" t="n">
        <v>32</v>
      </c>
      <c r="I150" s="21" t="n">
        <v>15</v>
      </c>
      <c r="J150" s="21" t="n">
        <v>11</v>
      </c>
      <c r="K150" s="20" t="n">
        <v>7563.27</v>
      </c>
    </row>
    <row r="151">
      <c r="A151" s="19" t="n">
        <v>46292</v>
      </c>
      <c r="B151" t="inlineStr">
        <is>
          <t>TikTok</t>
        </is>
      </c>
      <c r="C151" s="20" t="n">
        <v>1509.79</v>
      </c>
      <c r="D151" s="21" t="n">
        <v>30079</v>
      </c>
      <c r="E151" s="21" t="n">
        <v>15978</v>
      </c>
      <c r="F151" s="21" t="n">
        <v>329</v>
      </c>
      <c r="G151" s="21" t="inlineStr"/>
      <c r="H151" s="21" t="n">
        <v>20</v>
      </c>
      <c r="I151" s="21" t="n">
        <v>8</v>
      </c>
      <c r="J151" s="21" t="n">
        <v>5</v>
      </c>
      <c r="K151" s="20" t="n">
        <v>3024.91</v>
      </c>
    </row>
    <row r="152">
      <c r="A152" s="19" t="n">
        <v>46293</v>
      </c>
      <c r="B152" t="inlineStr">
        <is>
          <t>Meta</t>
        </is>
      </c>
      <c r="C152" s="20" t="n">
        <v>3257.75</v>
      </c>
      <c r="D152" s="21" t="n">
        <v>40447</v>
      </c>
      <c r="E152" s="21" t="n">
        <v>21102</v>
      </c>
      <c r="F152" s="21" t="n">
        <v>626</v>
      </c>
      <c r="G152" s="21" t="n">
        <v>450</v>
      </c>
      <c r="H152" s="21" t="n">
        <v>31</v>
      </c>
      <c r="I152" s="21" t="n">
        <v>16</v>
      </c>
      <c r="J152" s="21" t="n">
        <v>12</v>
      </c>
      <c r="K152" s="20" t="n">
        <v>8369.91</v>
      </c>
    </row>
    <row r="153">
      <c r="A153" s="19" t="n">
        <v>46293</v>
      </c>
      <c r="B153" t="inlineStr">
        <is>
          <t>TikTok</t>
        </is>
      </c>
      <c r="C153" s="20" t="n">
        <v>1556.95</v>
      </c>
      <c r="D153" s="21" t="n">
        <v>28733</v>
      </c>
      <c r="E153" s="21" t="n">
        <v>15768</v>
      </c>
      <c r="F153" s="21" t="n">
        <v>344</v>
      </c>
      <c r="G153" s="21" t="inlineStr"/>
      <c r="H153" s="21" t="n">
        <v>19</v>
      </c>
      <c r="I153" s="21" t="n">
        <v>9</v>
      </c>
      <c r="J153" s="21" t="n">
        <v>6</v>
      </c>
      <c r="K153" s="20" t="n">
        <v>3293.51</v>
      </c>
    </row>
    <row r="154">
      <c r="A154" s="19" t="n">
        <v>46294</v>
      </c>
      <c r="B154" t="inlineStr">
        <is>
          <t>Meta</t>
        </is>
      </c>
      <c r="C154" s="20" t="n">
        <v>3161.64</v>
      </c>
      <c r="D154" s="21" t="n">
        <v>40997</v>
      </c>
      <c r="E154" s="21" t="n">
        <v>18051</v>
      </c>
      <c r="F154" s="21" t="n">
        <v>713</v>
      </c>
      <c r="G154" s="21" t="n">
        <v>552</v>
      </c>
      <c r="H154" s="21" t="n">
        <v>41</v>
      </c>
      <c r="I154" s="21" t="n">
        <v>18</v>
      </c>
      <c r="J154" s="21" t="n">
        <v>15</v>
      </c>
      <c r="K154" s="20" t="n">
        <v>10546.3</v>
      </c>
    </row>
    <row r="155">
      <c r="A155" s="19" t="n">
        <v>46294</v>
      </c>
      <c r="B155" t="inlineStr">
        <is>
          <t>TikTok</t>
        </is>
      </c>
      <c r="C155" s="20" t="n">
        <v>1284.04</v>
      </c>
      <c r="D155" s="21" t="n">
        <v>25805</v>
      </c>
      <c r="E155" s="21" t="n">
        <v>12329</v>
      </c>
      <c r="F155" s="21" t="n">
        <v>265</v>
      </c>
      <c r="G155" s="21" t="inlineStr"/>
      <c r="H155" s="21" t="n">
        <v>16</v>
      </c>
      <c r="I155" s="21" t="n">
        <v>7</v>
      </c>
      <c r="J155" s="21" t="n">
        <v>5</v>
      </c>
      <c r="K155" s="20" t="n">
        <v>3053.04</v>
      </c>
    </row>
    <row r="156">
      <c r="A156" s="19" t="n">
        <v>46295</v>
      </c>
      <c r="B156" t="inlineStr">
        <is>
          <t>Meta</t>
        </is>
      </c>
      <c r="C156" s="20" t="n">
        <v>3236.42</v>
      </c>
      <c r="D156" s="21" t="n">
        <v>42842</v>
      </c>
      <c r="E156" s="21" t="n">
        <v>18035</v>
      </c>
      <c r="F156" s="21" t="n">
        <v>677</v>
      </c>
      <c r="G156" s="21" t="n">
        <v>526</v>
      </c>
      <c r="H156" s="21" t="n">
        <v>36</v>
      </c>
      <c r="I156" s="21" t="n">
        <v>18</v>
      </c>
      <c r="J156" s="21" t="n">
        <v>14</v>
      </c>
      <c r="K156" s="20" t="n">
        <v>9243.559999999999</v>
      </c>
    </row>
    <row r="157">
      <c r="A157" s="19" t="n">
        <v>46295</v>
      </c>
      <c r="B157" t="inlineStr">
        <is>
          <t>TikTok</t>
        </is>
      </c>
      <c r="C157" s="20" t="n">
        <v>1383.26</v>
      </c>
      <c r="D157" s="21" t="n">
        <v>26608</v>
      </c>
      <c r="E157" s="21" t="n">
        <v>16314</v>
      </c>
      <c r="F157" s="21" t="n">
        <v>322</v>
      </c>
      <c r="G157" s="21" t="inlineStr"/>
      <c r="H157" s="21" t="n">
        <v>22</v>
      </c>
      <c r="I157" s="21" t="n">
        <v>9</v>
      </c>
      <c r="J157" s="21" t="n">
        <v>6</v>
      </c>
      <c r="K157" s="20" t="n">
        <v>3512.33</v>
      </c>
    </row>
    <row r="158">
      <c r="A158" s="19" t="n">
        <v>46296</v>
      </c>
      <c r="B158" t="inlineStr">
        <is>
          <t>Meta</t>
        </is>
      </c>
      <c r="C158" s="20" t="n">
        <v>3602.39</v>
      </c>
      <c r="D158" s="21" t="n">
        <v>47911</v>
      </c>
      <c r="E158" s="21" t="n">
        <v>19297</v>
      </c>
      <c r="F158" s="21" t="n">
        <v>749</v>
      </c>
      <c r="G158" s="21" t="n">
        <v>612</v>
      </c>
      <c r="H158" s="21" t="n">
        <v>45</v>
      </c>
      <c r="I158" s="21" t="n">
        <v>23</v>
      </c>
      <c r="J158" s="21" t="n">
        <v>18</v>
      </c>
      <c r="K158" s="20" t="n">
        <v>12631.46</v>
      </c>
    </row>
    <row r="159">
      <c r="A159" s="19" t="n">
        <v>46296</v>
      </c>
      <c r="B159" t="inlineStr">
        <is>
          <t>TikTok</t>
        </is>
      </c>
      <c r="C159" s="20" t="n">
        <v>1544.88</v>
      </c>
      <c r="D159" s="21" t="n">
        <v>28240</v>
      </c>
      <c r="E159" s="21" t="n">
        <v>15569</v>
      </c>
      <c r="F159" s="21" t="n">
        <v>337</v>
      </c>
      <c r="G159" s="21" t="inlineStr"/>
      <c r="H159" s="21" t="n">
        <v>21</v>
      </c>
      <c r="I159" s="21" t="n">
        <v>8</v>
      </c>
      <c r="J159" s="21" t="n">
        <v>6</v>
      </c>
      <c r="K159" s="20" t="n">
        <v>3613.23</v>
      </c>
    </row>
    <row r="160">
      <c r="A160" s="19" t="n">
        <v>46297</v>
      </c>
      <c r="B160" t="inlineStr">
        <is>
          <t>Meta</t>
        </is>
      </c>
      <c r="C160" s="20" t="n">
        <v>4085.91</v>
      </c>
      <c r="D160" s="21" t="n">
        <v>51341</v>
      </c>
      <c r="E160" s="21" t="n">
        <v>26151</v>
      </c>
      <c r="F160" s="21" t="n">
        <v>831</v>
      </c>
      <c r="G160" s="21" t="n">
        <v>618</v>
      </c>
      <c r="H160" s="21" t="n">
        <v>45</v>
      </c>
      <c r="I160" s="21" t="n">
        <v>20</v>
      </c>
      <c r="J160" s="21" t="n">
        <v>15</v>
      </c>
      <c r="K160" s="20" t="n">
        <v>11080.87</v>
      </c>
    </row>
    <row r="161">
      <c r="A161" s="19" t="n">
        <v>46297</v>
      </c>
      <c r="B161" t="inlineStr">
        <is>
          <t>TikTok</t>
        </is>
      </c>
      <c r="C161" s="20" t="n">
        <v>1756.91</v>
      </c>
      <c r="D161" s="21" t="n">
        <v>33143</v>
      </c>
      <c r="E161" s="21" t="n">
        <v>16404</v>
      </c>
      <c r="F161" s="21" t="n">
        <v>411</v>
      </c>
      <c r="G161" s="21" t="inlineStr"/>
      <c r="H161" s="21" t="n">
        <v>24</v>
      </c>
      <c r="I161" s="21" t="n">
        <v>11</v>
      </c>
      <c r="J161" s="21" t="n">
        <v>8</v>
      </c>
      <c r="K161" s="20" t="n">
        <v>4836.98</v>
      </c>
    </row>
    <row r="162">
      <c r="A162" s="19" t="n">
        <v>46298</v>
      </c>
      <c r="B162" t="inlineStr">
        <is>
          <t>Meta</t>
        </is>
      </c>
      <c r="C162" s="20" t="n">
        <v>4391.15</v>
      </c>
      <c r="D162" s="21" t="n">
        <v>57341</v>
      </c>
      <c r="E162" s="21" t="n">
        <v>23380</v>
      </c>
      <c r="F162" s="21" t="n">
        <v>850</v>
      </c>
      <c r="G162" s="21" t="n">
        <v>599</v>
      </c>
      <c r="H162" s="21" t="n">
        <v>45</v>
      </c>
      <c r="I162" s="21" t="n">
        <v>22</v>
      </c>
      <c r="J162" s="21" t="n">
        <v>16</v>
      </c>
      <c r="K162" s="20" t="n">
        <v>11816.45</v>
      </c>
    </row>
    <row r="163">
      <c r="A163" s="19" t="n">
        <v>46298</v>
      </c>
      <c r="B163" t="inlineStr">
        <is>
          <t>TikTok</t>
        </is>
      </c>
      <c r="C163" s="20" t="n">
        <v>1927.18</v>
      </c>
      <c r="D163" s="21" t="n">
        <v>36579</v>
      </c>
      <c r="E163" s="21" t="n">
        <v>18677</v>
      </c>
      <c r="F163" s="21" t="n">
        <v>453</v>
      </c>
      <c r="G163" s="21" t="inlineStr"/>
      <c r="H163" s="21" t="n">
        <v>29</v>
      </c>
      <c r="I163" s="21" t="n">
        <v>11</v>
      </c>
      <c r="J163" s="21" t="n">
        <v>7</v>
      </c>
      <c r="K163" s="20" t="n">
        <v>4357.61</v>
      </c>
    </row>
    <row r="164">
      <c r="A164" s="19" t="n">
        <v>46299</v>
      </c>
      <c r="B164" t="inlineStr">
        <is>
          <t>Meta</t>
        </is>
      </c>
      <c r="C164" s="20" t="n">
        <v>3426.82</v>
      </c>
      <c r="D164" s="21" t="n">
        <v>44031</v>
      </c>
      <c r="E164" s="21" t="n">
        <v>17352</v>
      </c>
      <c r="F164" s="21" t="n">
        <v>703</v>
      </c>
      <c r="G164" s="21" t="n">
        <v>498</v>
      </c>
      <c r="H164" s="21" t="n">
        <v>36</v>
      </c>
      <c r="I164" s="21" t="n">
        <v>16</v>
      </c>
      <c r="J164" s="21" t="n">
        <v>12</v>
      </c>
      <c r="K164" s="20" t="n">
        <v>7856.2</v>
      </c>
    </row>
    <row r="165">
      <c r="A165" s="19" t="n">
        <v>46299</v>
      </c>
      <c r="B165" t="inlineStr">
        <is>
          <t>TikTok</t>
        </is>
      </c>
      <c r="C165" s="20" t="n">
        <v>1747.49</v>
      </c>
      <c r="D165" s="21" t="n">
        <v>32454</v>
      </c>
      <c r="E165" s="21" t="n">
        <v>19430</v>
      </c>
      <c r="F165" s="21" t="n">
        <v>369</v>
      </c>
      <c r="G165" s="21" t="inlineStr"/>
      <c r="H165" s="21" t="n">
        <v>24</v>
      </c>
      <c r="I165" s="21" t="n">
        <v>9</v>
      </c>
      <c r="J165" s="21" t="n">
        <v>6</v>
      </c>
      <c r="K165" s="20" t="n">
        <v>3424.26</v>
      </c>
    </row>
    <row r="166">
      <c r="A166" s="19" t="n">
        <v>46300</v>
      </c>
      <c r="B166" t="inlineStr">
        <is>
          <t>Meta</t>
        </is>
      </c>
      <c r="C166" s="20" t="n">
        <v>3350.28</v>
      </c>
      <c r="D166" s="21" t="n">
        <v>42551</v>
      </c>
      <c r="E166" s="21" t="n">
        <v>21326</v>
      </c>
      <c r="F166" s="21" t="n">
        <v>773</v>
      </c>
      <c r="G166" s="21" t="n">
        <v>565</v>
      </c>
      <c r="H166" s="21" t="n">
        <v>38</v>
      </c>
      <c r="I166" s="21" t="n">
        <v>18</v>
      </c>
      <c r="J166" s="21" t="n">
        <v>13</v>
      </c>
      <c r="K166" s="20" t="n">
        <v>9183.110000000001</v>
      </c>
    </row>
    <row r="167">
      <c r="A167" s="19" t="n">
        <v>46300</v>
      </c>
      <c r="B167" t="inlineStr">
        <is>
          <t>TikTok</t>
        </is>
      </c>
      <c r="C167" s="20" t="n">
        <v>1487.82</v>
      </c>
      <c r="D167" s="21" t="n">
        <v>27854</v>
      </c>
      <c r="E167" s="21" t="n">
        <v>13578</v>
      </c>
      <c r="F167" s="21" t="n">
        <v>304</v>
      </c>
      <c r="G167" s="21" t="inlineStr"/>
      <c r="H167" s="21" t="n">
        <v>19</v>
      </c>
      <c r="I167" s="21" t="n">
        <v>8</v>
      </c>
      <c r="J167" s="21" t="n">
        <v>5</v>
      </c>
      <c r="K167" s="20" t="n">
        <v>3465</v>
      </c>
    </row>
    <row r="168">
      <c r="A168" s="19" t="n">
        <v>46301</v>
      </c>
      <c r="B168" t="inlineStr">
        <is>
          <t>Meta</t>
        </is>
      </c>
      <c r="C168" s="20" t="n">
        <v>3009.08</v>
      </c>
      <c r="D168" s="21" t="n">
        <v>38427</v>
      </c>
      <c r="E168" s="21" t="n">
        <v>14278</v>
      </c>
      <c r="F168" s="21" t="n">
        <v>622</v>
      </c>
      <c r="G168" s="21" t="n">
        <v>480</v>
      </c>
      <c r="H168" s="21" t="n">
        <v>32</v>
      </c>
      <c r="I168" s="21" t="n">
        <v>16</v>
      </c>
      <c r="J168" s="21" t="n">
        <v>12</v>
      </c>
      <c r="K168" s="20" t="n">
        <v>8335.629999999999</v>
      </c>
    </row>
    <row r="169">
      <c r="A169" s="19" t="n">
        <v>46301</v>
      </c>
      <c r="B169" t="inlineStr">
        <is>
          <t>TikTok</t>
        </is>
      </c>
      <c r="C169" s="20" t="n">
        <v>1310.13</v>
      </c>
      <c r="D169" s="21" t="n">
        <v>23955</v>
      </c>
      <c r="E169" s="21" t="n">
        <v>14658</v>
      </c>
      <c r="F169" s="21" t="n">
        <v>294</v>
      </c>
      <c r="G169" s="21" t="inlineStr"/>
      <c r="H169" s="21" t="n">
        <v>19</v>
      </c>
      <c r="I169" s="21" t="n">
        <v>8</v>
      </c>
      <c r="J169" s="21" t="n">
        <v>5</v>
      </c>
      <c r="K169" s="20" t="n">
        <v>3342.61</v>
      </c>
    </row>
    <row r="170">
      <c r="A170" s="19" t="n">
        <v>46302</v>
      </c>
      <c r="B170" t="inlineStr">
        <is>
          <t>Meta</t>
        </is>
      </c>
      <c r="C170" s="20" t="n">
        <v>3335.38</v>
      </c>
      <c r="D170" s="21" t="n">
        <v>42767</v>
      </c>
      <c r="E170" s="21" t="n">
        <v>19383</v>
      </c>
      <c r="F170" s="21" t="n">
        <v>687</v>
      </c>
      <c r="G170" s="21" t="n">
        <v>492</v>
      </c>
      <c r="H170" s="21" t="n">
        <v>41</v>
      </c>
      <c r="I170" s="21" t="n">
        <v>19</v>
      </c>
      <c r="J170" s="21" t="n">
        <v>14</v>
      </c>
      <c r="K170" s="20" t="n">
        <v>9136.07</v>
      </c>
    </row>
    <row r="171">
      <c r="A171" s="19" t="n">
        <v>46302</v>
      </c>
      <c r="B171" t="inlineStr">
        <is>
          <t>TikTok</t>
        </is>
      </c>
      <c r="C171" s="20" t="n">
        <v>1372.48</v>
      </c>
      <c r="D171" s="21" t="n">
        <v>25550</v>
      </c>
      <c r="E171" s="21" t="n">
        <v>15366</v>
      </c>
      <c r="F171" s="21" t="n">
        <v>275</v>
      </c>
      <c r="G171" s="21" t="inlineStr"/>
      <c r="H171" s="21" t="n">
        <v>17</v>
      </c>
      <c r="I171" s="21" t="n">
        <v>7</v>
      </c>
      <c r="J171" s="21" t="n">
        <v>5</v>
      </c>
      <c r="K171" s="20" t="n">
        <v>2693.25</v>
      </c>
    </row>
    <row r="172">
      <c r="A172" s="19" t="n">
        <v>46303</v>
      </c>
      <c r="B172" t="inlineStr">
        <is>
          <t>Meta</t>
        </is>
      </c>
      <c r="C172" s="20" t="n">
        <v>3203.23</v>
      </c>
      <c r="D172" s="21" t="n">
        <v>40607</v>
      </c>
      <c r="E172" s="21" t="n">
        <v>16607</v>
      </c>
      <c r="F172" s="21" t="n">
        <v>617</v>
      </c>
      <c r="G172" s="21" t="n">
        <v>448</v>
      </c>
      <c r="H172" s="21" t="n">
        <v>32</v>
      </c>
      <c r="I172" s="21" t="n">
        <v>14</v>
      </c>
      <c r="J172" s="21" t="n">
        <v>10</v>
      </c>
      <c r="K172" s="20" t="n">
        <v>6926.12</v>
      </c>
    </row>
    <row r="173">
      <c r="A173" s="19" t="n">
        <v>46303</v>
      </c>
      <c r="B173" t="inlineStr">
        <is>
          <t>TikTok</t>
        </is>
      </c>
      <c r="C173" s="20" t="n">
        <v>1496.1</v>
      </c>
      <c r="D173" s="21" t="n">
        <v>27385</v>
      </c>
      <c r="E173" s="21" t="n">
        <v>16136</v>
      </c>
      <c r="F173" s="21" t="n">
        <v>343</v>
      </c>
      <c r="G173" s="21" t="inlineStr"/>
      <c r="H173" s="21" t="n">
        <v>22</v>
      </c>
      <c r="I173" s="21" t="n">
        <v>9</v>
      </c>
      <c r="J173" s="21" t="n">
        <v>6</v>
      </c>
      <c r="K173" s="20" t="n">
        <v>4097.61</v>
      </c>
    </row>
    <row r="174">
      <c r="A174" s="19" t="n">
        <v>46304</v>
      </c>
      <c r="B174" t="inlineStr">
        <is>
          <t>Meta</t>
        </is>
      </c>
      <c r="C174" s="20" t="n">
        <v>3292.63</v>
      </c>
      <c r="D174" s="21" t="n">
        <v>39412</v>
      </c>
      <c r="E174" s="21" t="n">
        <v>16152</v>
      </c>
      <c r="F174" s="21" t="n">
        <v>631</v>
      </c>
      <c r="G174" s="21" t="n">
        <v>499</v>
      </c>
      <c r="H174" s="21" t="n">
        <v>32</v>
      </c>
      <c r="I174" s="21" t="n">
        <v>15</v>
      </c>
      <c r="J174" s="21" t="n">
        <v>10</v>
      </c>
      <c r="K174" s="20" t="n">
        <v>7439.16</v>
      </c>
    </row>
    <row r="175">
      <c r="A175" s="19" t="n">
        <v>46304</v>
      </c>
      <c r="B175" t="inlineStr">
        <is>
          <t>TikTok</t>
        </is>
      </c>
      <c r="C175" s="20" t="n">
        <v>1477.43</v>
      </c>
      <c r="D175" s="21" t="n">
        <v>26248</v>
      </c>
      <c r="E175" s="21" t="n">
        <v>12740</v>
      </c>
      <c r="F175" s="21" t="n">
        <v>290</v>
      </c>
      <c r="G175" s="21" t="inlineStr"/>
      <c r="H175" s="21" t="n">
        <v>19</v>
      </c>
      <c r="I175" s="21" t="n">
        <v>8</v>
      </c>
      <c r="J175" s="21" t="n">
        <v>5</v>
      </c>
      <c r="K175" s="20" t="n">
        <v>3287.08</v>
      </c>
    </row>
    <row r="176">
      <c r="A176" s="19" t="n">
        <v>46305</v>
      </c>
      <c r="B176" t="inlineStr">
        <is>
          <t>Meta</t>
        </is>
      </c>
      <c r="C176" s="20" t="n">
        <v>3640.93</v>
      </c>
      <c r="D176" s="21" t="n">
        <v>47358</v>
      </c>
      <c r="E176" s="21" t="n">
        <v>22851</v>
      </c>
      <c r="F176" s="21" t="n">
        <v>691</v>
      </c>
      <c r="G176" s="21" t="n">
        <v>509</v>
      </c>
      <c r="H176" s="21" t="n">
        <v>41</v>
      </c>
      <c r="I176" s="21" t="n">
        <v>21</v>
      </c>
      <c r="J176" s="21" t="n">
        <v>15</v>
      </c>
      <c r="K176" s="20" t="n">
        <v>10809.64</v>
      </c>
    </row>
    <row r="177">
      <c r="A177" s="19" t="n">
        <v>46305</v>
      </c>
      <c r="B177" t="inlineStr">
        <is>
          <t>TikTok</t>
        </is>
      </c>
      <c r="C177" s="20" t="n">
        <v>1675.62</v>
      </c>
      <c r="D177" s="21" t="n">
        <v>30646</v>
      </c>
      <c r="E177" s="21" t="n">
        <v>17147</v>
      </c>
      <c r="F177" s="21" t="n">
        <v>409</v>
      </c>
      <c r="G177" s="21" t="inlineStr"/>
      <c r="H177" s="21" t="n">
        <v>27</v>
      </c>
      <c r="I177" s="21" t="n">
        <v>12</v>
      </c>
      <c r="J177" s="21" t="n">
        <v>7</v>
      </c>
      <c r="K177" s="20" t="n">
        <v>4138.52</v>
      </c>
    </row>
    <row r="178">
      <c r="A178" s="19" t="n">
        <v>46306</v>
      </c>
      <c r="B178" t="inlineStr">
        <is>
          <t>Meta</t>
        </is>
      </c>
      <c r="C178" s="20" t="n">
        <v>3399.42</v>
      </c>
      <c r="D178" s="21" t="n">
        <v>42114</v>
      </c>
      <c r="E178" s="21" t="n">
        <v>21478</v>
      </c>
      <c r="F178" s="21" t="n">
        <v>730</v>
      </c>
      <c r="G178" s="21" t="n">
        <v>561</v>
      </c>
      <c r="H178" s="21" t="n">
        <v>36</v>
      </c>
      <c r="I178" s="21" t="n">
        <v>16</v>
      </c>
      <c r="J178" s="21" t="n">
        <v>12</v>
      </c>
      <c r="K178" s="20" t="n">
        <v>7906.66</v>
      </c>
    </row>
    <row r="179">
      <c r="A179" s="19" t="n">
        <v>46306</v>
      </c>
      <c r="B179" t="inlineStr">
        <is>
          <t>TikTok</t>
        </is>
      </c>
      <c r="C179" s="20" t="n">
        <v>1715.02</v>
      </c>
      <c r="D179" s="21" t="n">
        <v>30598</v>
      </c>
      <c r="E179" s="21" t="n">
        <v>16598</v>
      </c>
      <c r="F179" s="21" t="n">
        <v>376</v>
      </c>
      <c r="G179" s="21" t="inlineStr"/>
      <c r="H179" s="21" t="n">
        <v>26</v>
      </c>
      <c r="I179" s="21" t="n">
        <v>11</v>
      </c>
      <c r="J179" s="21" t="n">
        <v>8</v>
      </c>
      <c r="K179" s="20" t="n">
        <v>4761.08</v>
      </c>
    </row>
    <row r="180">
      <c r="A180" s="19" t="n">
        <v>46307</v>
      </c>
      <c r="B180" t="inlineStr">
        <is>
          <t>Meta</t>
        </is>
      </c>
      <c r="C180" s="20" t="n">
        <v>3053.78</v>
      </c>
      <c r="D180" s="21" t="n">
        <v>37704</v>
      </c>
      <c r="E180" s="21" t="n">
        <v>17488</v>
      </c>
      <c r="F180" s="21" t="n">
        <v>590</v>
      </c>
      <c r="G180" s="21" t="n">
        <v>447</v>
      </c>
      <c r="H180" s="21" t="n">
        <v>37</v>
      </c>
      <c r="I180" s="21" t="n">
        <v>16</v>
      </c>
      <c r="J180" s="21" t="n">
        <v>13</v>
      </c>
      <c r="K180" s="20" t="n">
        <v>8788.35</v>
      </c>
    </row>
    <row r="181">
      <c r="A181" s="19" t="n">
        <v>46307</v>
      </c>
      <c r="B181" t="inlineStr">
        <is>
          <t>TikTok</t>
        </is>
      </c>
      <c r="C181" s="20" t="n">
        <v>1536.37</v>
      </c>
      <c r="D181" s="21" t="n">
        <v>27595</v>
      </c>
      <c r="E181" s="21" t="n">
        <v>16096</v>
      </c>
      <c r="F181" s="21" t="n">
        <v>316</v>
      </c>
      <c r="G181" s="21" t="inlineStr"/>
      <c r="H181" s="21" t="n">
        <v>19</v>
      </c>
      <c r="I181" s="21" t="n">
        <v>8</v>
      </c>
      <c r="J181" s="21" t="n">
        <v>5</v>
      </c>
      <c r="K181" s="20" t="n">
        <v>3315.35</v>
      </c>
    </row>
  </sheetData>
  <autoFilter ref="A1:K181"/>
  <mergeCells count="1">
    <mergeCell ref="M2:N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8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34" customWidth="1" min="3" max="3"/>
    <col width="26" customWidth="1" min="4" max="4"/>
    <col width="26" customWidth="1" min="5" max="5"/>
    <col width="24" customWidth="1" min="6" max="6"/>
    <col width="12" customWidth="1" min="7" max="7"/>
    <col width="13" customWidth="1" min="8" max="8"/>
    <col width="11" customWidth="1" min="9" max="9"/>
    <col width="11" customWidth="1" min="10" max="10"/>
    <col width="14" customWidth="1" min="11" max="11"/>
  </cols>
  <sheetData>
    <row r="1" ht="26" customHeight="1">
      <c r="A1" s="13" t="inlineStr">
        <is>
          <t>Date</t>
        </is>
      </c>
      <c r="B1" s="14" t="inlineStr">
        <is>
          <t>Platform</t>
        </is>
      </c>
      <c r="C1" s="14" t="inlineStr">
        <is>
          <t>Ad Name</t>
        </is>
      </c>
      <c r="D1" s="14" t="inlineStr">
        <is>
          <t>Campaign</t>
        </is>
      </c>
      <c r="E1" s="14" t="inlineStr">
        <is>
          <t>Ad Group / Ad Set</t>
        </is>
      </c>
      <c r="F1" s="14" t="inlineStr">
        <is>
          <t>Creative Key</t>
        </is>
      </c>
      <c r="G1" s="15" t="inlineStr">
        <is>
          <t>Spend</t>
        </is>
      </c>
      <c r="H1" s="16" t="inlineStr">
        <is>
          <t>Impressions</t>
        </is>
      </c>
      <c r="I1" s="16" t="inlineStr">
        <is>
          <t>Clicks</t>
        </is>
      </c>
      <c r="J1" s="16" t="inlineStr">
        <is>
          <t>Purchases</t>
        </is>
      </c>
      <c r="K1" s="15" t="inlineStr">
        <is>
          <t>Revenue</t>
        </is>
      </c>
    </row>
    <row r="2">
      <c r="A2" s="19" t="n">
        <v>46218</v>
      </c>
      <c r="B2" t="inlineStr">
        <is>
          <t>Meta</t>
        </is>
      </c>
      <c r="C2" t="inlineStr">
        <is>
          <t>VID | Founder story | v4</t>
        </is>
      </c>
      <c r="D2" t="inlineStr">
        <is>
          <t>Prospecting | Broad | EG</t>
        </is>
      </c>
      <c r="E2" t="inlineStr">
        <is>
          <t>UGC-Founder</t>
        </is>
      </c>
      <c r="F2" t="n">
        <v>883.12</v>
      </c>
      <c r="G2" s="20" t="n">
        <v>14694</v>
      </c>
      <c r="H2" s="21" t="n">
        <v>263</v>
      </c>
      <c r="I2" s="21" t="n">
        <v>6</v>
      </c>
      <c r="J2" s="21" t="n">
        <v>3941.98</v>
      </c>
    </row>
    <row r="3">
      <c r="A3" s="19" t="n">
        <v>46218</v>
      </c>
      <c r="B3" t="inlineStr">
        <is>
          <t>Meta</t>
        </is>
      </c>
      <c r="C3" t="inlineStr">
        <is>
          <t>STATIC | Bundle offer | v2</t>
        </is>
      </c>
      <c r="D3" t="inlineStr">
        <is>
          <t>Prospecting | Broad | EG</t>
        </is>
      </c>
      <c r="E3" t="inlineStr">
        <is>
          <t>Static-Bundle</t>
        </is>
      </c>
      <c r="F3" t="n">
        <v>556.49</v>
      </c>
      <c r="G3" s="20" t="n">
        <v>9260</v>
      </c>
      <c r="H3" s="21" t="n">
        <v>166</v>
      </c>
      <c r="I3" s="21" t="n">
        <v>3</v>
      </c>
      <c r="J3" s="21" t="n">
        <v>2143.07</v>
      </c>
    </row>
    <row r="4">
      <c r="A4" s="19" t="n">
        <v>46218</v>
      </c>
      <c r="B4" t="inlineStr">
        <is>
          <t>Meta</t>
        </is>
      </c>
      <c r="C4" t="inlineStr">
        <is>
          <t>VID | Founder story | v3</t>
        </is>
      </c>
      <c r="D4" t="inlineStr">
        <is>
          <t>Prospecting | Broad | EG</t>
        </is>
      </c>
      <c r="E4" t="inlineStr">
        <is>
          <t>UGC-Founder</t>
        </is>
      </c>
      <c r="F4" t="n">
        <v>487.31</v>
      </c>
      <c r="G4" s="20" t="n">
        <v>8108</v>
      </c>
      <c r="H4" s="21" t="n">
        <v>145</v>
      </c>
      <c r="I4" s="21" t="n">
        <v>2</v>
      </c>
      <c r="J4" s="21" t="n">
        <v>1323.36</v>
      </c>
    </row>
    <row r="5">
      <c r="A5" s="19" t="n">
        <v>46218</v>
      </c>
      <c r="B5" t="inlineStr">
        <is>
          <t>Meta</t>
        </is>
      </c>
      <c r="C5" t="inlineStr">
        <is>
          <t>VID | Review compilation | v1</t>
        </is>
      </c>
      <c r="D5" t="inlineStr">
        <is>
          <t>Prospecting | Interest | EG</t>
        </is>
      </c>
      <c r="E5" t="inlineStr">
        <is>
          <t>UGC-Reviews</t>
        </is>
      </c>
      <c r="F5" t="n">
        <v>406.4</v>
      </c>
      <c r="G5" s="20" t="n">
        <v>6762</v>
      </c>
      <c r="H5" s="21" t="n">
        <v>121</v>
      </c>
      <c r="I5" s="21" t="n">
        <v>2</v>
      </c>
      <c r="J5" s="21" t="n">
        <v>1329.4</v>
      </c>
    </row>
    <row r="6">
      <c r="A6" s="19" t="n">
        <v>46218</v>
      </c>
      <c r="B6" t="inlineStr">
        <is>
          <t>Meta</t>
        </is>
      </c>
      <c r="C6" t="inlineStr">
        <is>
          <t>STATIC | Bundle offer | v1</t>
        </is>
      </c>
      <c r="D6" t="inlineStr">
        <is>
          <t>Test | Broad | EG</t>
        </is>
      </c>
      <c r="E6" t="inlineStr">
        <is>
          <t>Static-Bundle</t>
        </is>
      </c>
      <c r="F6" t="n">
        <v>314.15</v>
      </c>
      <c r="G6" s="20" t="n">
        <v>5227</v>
      </c>
      <c r="H6" s="21" t="n">
        <v>93</v>
      </c>
      <c r="I6" s="21" t="n">
        <v>1</v>
      </c>
      <c r="J6" s="21" t="n">
        <v>713.03</v>
      </c>
    </row>
    <row r="7">
      <c r="A7" s="19" t="n">
        <v>46218</v>
      </c>
      <c r="B7" t="inlineStr">
        <is>
          <t>Meta</t>
        </is>
      </c>
      <c r="C7" t="inlineStr">
        <is>
          <t>STATIC | Discount 20% | v1</t>
        </is>
      </c>
      <c r="D7" t="inlineStr">
        <is>
          <t>Retargeting | 7d IC</t>
        </is>
      </c>
      <c r="E7" t="inlineStr">
        <is>
          <t>Static-Discount</t>
        </is>
      </c>
      <c r="F7" t="n">
        <v>248.56</v>
      </c>
      <c r="G7" s="20" t="n">
        <v>4136</v>
      </c>
      <c r="H7" s="21" t="n">
        <v>74</v>
      </c>
      <c r="I7" s="21" t="n">
        <v>2</v>
      </c>
      <c r="J7" s="21" t="n">
        <v>1542.58</v>
      </c>
    </row>
    <row r="8">
      <c r="A8" s="19" t="n">
        <v>46218</v>
      </c>
      <c r="B8" t="inlineStr">
        <is>
          <t>Meta</t>
        </is>
      </c>
      <c r="C8" t="inlineStr">
        <is>
          <t>CAROUSEL | Best sellers</t>
        </is>
      </c>
      <c r="D8" t="inlineStr">
        <is>
          <t>Retargeting | 14d ATC</t>
        </is>
      </c>
      <c r="E8" t="inlineStr">
        <is>
          <t>Carousel-Bestsellers</t>
        </is>
      </c>
      <c r="F8" t="n">
        <v>157.26</v>
      </c>
      <c r="G8" s="20" t="n">
        <v>2617</v>
      </c>
      <c r="H8" s="21" t="n">
        <v>47</v>
      </c>
      <c r="I8" s="21" t="n">
        <v>2</v>
      </c>
      <c r="J8" s="21" t="n">
        <v>1338.99</v>
      </c>
    </row>
    <row r="9">
      <c r="A9" s="19" t="n">
        <v>46218</v>
      </c>
      <c r="B9" t="inlineStr">
        <is>
          <t>Meta</t>
        </is>
      </c>
      <c r="C9" t="inlineStr">
        <is>
          <t>VID | Founder story | v1</t>
        </is>
      </c>
      <c r="D9" t="inlineStr">
        <is>
          <t>Prospecting | Broad | EG</t>
        </is>
      </c>
      <c r="E9" t="inlineStr">
        <is>
          <t>UGC-Founder</t>
        </is>
      </c>
      <c r="F9" t="n">
        <v>145.36</v>
      </c>
      <c r="G9" s="20" t="n">
        <v>2419</v>
      </c>
      <c r="H9" s="21" t="n">
        <v>43</v>
      </c>
      <c r="I9" s="21" t="n">
        <v>0</v>
      </c>
      <c r="J9" s="21" t="n">
        <v>0</v>
      </c>
    </row>
    <row r="10">
      <c r="A10" s="19" t="n">
        <v>46219</v>
      </c>
      <c r="B10" t="inlineStr">
        <is>
          <t>Meta</t>
        </is>
      </c>
      <c r="C10" t="inlineStr">
        <is>
          <t>VID | Founder story | v4</t>
        </is>
      </c>
      <c r="D10" t="inlineStr">
        <is>
          <t>Prospecting | Broad | EG</t>
        </is>
      </c>
      <c r="E10" t="inlineStr">
        <is>
          <t>UGC-Founder</t>
        </is>
      </c>
      <c r="F10" t="n">
        <v>870.01</v>
      </c>
      <c r="G10" s="20" t="n">
        <v>14522</v>
      </c>
      <c r="H10" s="21" t="n">
        <v>249</v>
      </c>
      <c r="I10" s="21" t="n">
        <v>5</v>
      </c>
      <c r="J10" s="21" t="n">
        <v>3372.16</v>
      </c>
    </row>
    <row r="11">
      <c r="A11" s="19" t="n">
        <v>46219</v>
      </c>
      <c r="B11" t="inlineStr">
        <is>
          <t>Meta</t>
        </is>
      </c>
      <c r="C11" t="inlineStr">
        <is>
          <t>STATIC | Bundle offer | v2</t>
        </is>
      </c>
      <c r="D11" t="inlineStr">
        <is>
          <t>Prospecting | Broad | EG</t>
        </is>
      </c>
      <c r="E11" t="inlineStr">
        <is>
          <t>Static-Bundle</t>
        </is>
      </c>
      <c r="F11" t="n">
        <v>633.6900000000001</v>
      </c>
      <c r="G11" s="20" t="n">
        <v>10578</v>
      </c>
      <c r="H11" s="21" t="n">
        <v>181</v>
      </c>
      <c r="I11" s="21" t="n">
        <v>3</v>
      </c>
      <c r="J11" s="21" t="n">
        <v>2011.77</v>
      </c>
    </row>
    <row r="12">
      <c r="A12" s="19" t="n">
        <v>46219</v>
      </c>
      <c r="B12" t="inlineStr">
        <is>
          <t>Meta</t>
        </is>
      </c>
      <c r="C12" t="inlineStr">
        <is>
          <t>VID | Founder story | v3</t>
        </is>
      </c>
      <c r="D12" t="inlineStr">
        <is>
          <t>Prospecting | Broad | EG</t>
        </is>
      </c>
      <c r="E12" t="inlineStr">
        <is>
          <t>UGC-Founder</t>
        </is>
      </c>
      <c r="F12" t="n">
        <v>428.68</v>
      </c>
      <c r="G12" s="20" t="n">
        <v>7156</v>
      </c>
      <c r="H12" s="21" t="n">
        <v>123</v>
      </c>
      <c r="I12" s="21" t="n">
        <v>2</v>
      </c>
      <c r="J12" s="21" t="n">
        <v>1396.56</v>
      </c>
    </row>
    <row r="13">
      <c r="A13" s="19" t="n">
        <v>46219</v>
      </c>
      <c r="B13" t="inlineStr">
        <is>
          <t>Meta</t>
        </is>
      </c>
      <c r="C13" t="inlineStr">
        <is>
          <t>VID | Review compilation | v1</t>
        </is>
      </c>
      <c r="D13" t="inlineStr">
        <is>
          <t>Prospecting | Interest | EG</t>
        </is>
      </c>
      <c r="E13" t="inlineStr">
        <is>
          <t>UGC-Reviews</t>
        </is>
      </c>
      <c r="F13" t="n">
        <v>406</v>
      </c>
      <c r="G13" s="20" t="n">
        <v>6777</v>
      </c>
      <c r="H13" s="21" t="n">
        <v>116</v>
      </c>
      <c r="I13" s="21" t="n">
        <v>2</v>
      </c>
      <c r="J13" s="21" t="n">
        <v>1544</v>
      </c>
    </row>
    <row r="14">
      <c r="A14" s="19" t="n">
        <v>46219</v>
      </c>
      <c r="B14" t="inlineStr">
        <is>
          <t>Meta</t>
        </is>
      </c>
      <c r="C14" t="inlineStr">
        <is>
          <t>STATIC | Bundle offer | v1</t>
        </is>
      </c>
      <c r="D14" t="inlineStr">
        <is>
          <t>Test | Broad | EG</t>
        </is>
      </c>
      <c r="E14" t="inlineStr">
        <is>
          <t>Static-Bundle</t>
        </is>
      </c>
      <c r="F14" t="n">
        <v>319.23</v>
      </c>
      <c r="G14" s="20" t="n">
        <v>5329</v>
      </c>
      <c r="H14" s="21" t="n">
        <v>91</v>
      </c>
      <c r="I14" s="21" t="n">
        <v>1</v>
      </c>
      <c r="J14" s="21" t="n">
        <v>679.73</v>
      </c>
    </row>
    <row r="15">
      <c r="A15" s="19" t="n">
        <v>46219</v>
      </c>
      <c r="B15" t="inlineStr">
        <is>
          <t>Meta</t>
        </is>
      </c>
      <c r="C15" t="inlineStr">
        <is>
          <t>STATIC | Discount 20% | v1</t>
        </is>
      </c>
      <c r="D15" t="inlineStr">
        <is>
          <t>Retargeting | 7d IC</t>
        </is>
      </c>
      <c r="E15" t="inlineStr">
        <is>
          <t>Static-Discount</t>
        </is>
      </c>
      <c r="F15" t="n">
        <v>201.11</v>
      </c>
      <c r="G15" s="20" t="n">
        <v>3357</v>
      </c>
      <c r="H15" s="21" t="n">
        <v>58</v>
      </c>
      <c r="I15" s="21" t="n">
        <v>1</v>
      </c>
      <c r="J15" s="21" t="n">
        <v>737.9400000000001</v>
      </c>
    </row>
    <row r="16">
      <c r="A16" s="19" t="n">
        <v>46219</v>
      </c>
      <c r="B16" t="inlineStr">
        <is>
          <t>Meta</t>
        </is>
      </c>
      <c r="C16" t="inlineStr">
        <is>
          <t>CAROUSEL | Best sellers</t>
        </is>
      </c>
      <c r="D16" t="inlineStr">
        <is>
          <t>Retargeting | 14d ATC</t>
        </is>
      </c>
      <c r="E16" t="inlineStr">
        <is>
          <t>Carousel-Bestsellers</t>
        </is>
      </c>
      <c r="F16" t="n">
        <v>180.46</v>
      </c>
      <c r="G16" s="20" t="n">
        <v>3012</v>
      </c>
      <c r="H16" s="21" t="n">
        <v>52</v>
      </c>
      <c r="I16" s="21" t="n">
        <v>2</v>
      </c>
      <c r="J16" s="21" t="n">
        <v>1492.53</v>
      </c>
    </row>
    <row r="17">
      <c r="A17" s="19" t="n">
        <v>46219</v>
      </c>
      <c r="B17" t="inlineStr">
        <is>
          <t>Meta</t>
        </is>
      </c>
      <c r="C17" t="inlineStr">
        <is>
          <t>VID | Founder story | v1</t>
        </is>
      </c>
      <c r="D17" t="inlineStr">
        <is>
          <t>Prospecting | Broad | EG</t>
        </is>
      </c>
      <c r="E17" t="inlineStr">
        <is>
          <t>UGC-Founder</t>
        </is>
      </c>
      <c r="F17" t="n">
        <v>122.12</v>
      </c>
      <c r="G17" s="20" t="n">
        <v>2039</v>
      </c>
      <c r="H17" s="21" t="n">
        <v>35</v>
      </c>
      <c r="I17" s="21" t="n">
        <v>0</v>
      </c>
      <c r="J17" s="21" t="n">
        <v>0</v>
      </c>
    </row>
    <row r="18">
      <c r="A18" s="19" t="n">
        <v>46220</v>
      </c>
      <c r="B18" t="inlineStr">
        <is>
          <t>Meta</t>
        </is>
      </c>
      <c r="C18" t="inlineStr">
        <is>
          <t>VID | Founder story | v4</t>
        </is>
      </c>
      <c r="D18" t="inlineStr">
        <is>
          <t>Prospecting | Broad | EG</t>
        </is>
      </c>
      <c r="E18" t="inlineStr">
        <is>
          <t>UGC-Founder</t>
        </is>
      </c>
      <c r="F18" t="n">
        <v>1031.27</v>
      </c>
      <c r="G18" s="20" t="n">
        <v>15895</v>
      </c>
      <c r="H18" s="21" t="n">
        <v>273</v>
      </c>
      <c r="I18" s="21" t="n">
        <v>7</v>
      </c>
      <c r="J18" s="21" t="n">
        <v>4505.3</v>
      </c>
    </row>
    <row r="19">
      <c r="A19" s="19" t="n">
        <v>46220</v>
      </c>
      <c r="B19" t="inlineStr">
        <is>
          <t>Meta</t>
        </is>
      </c>
      <c r="C19" t="inlineStr">
        <is>
          <t>STATIC | Bundle offer | v2</t>
        </is>
      </c>
      <c r="D19" t="inlineStr">
        <is>
          <t>Prospecting | Broad | EG</t>
        </is>
      </c>
      <c r="E19" t="inlineStr">
        <is>
          <t>Static-Bundle</t>
        </is>
      </c>
      <c r="F19" t="n">
        <v>588.9</v>
      </c>
      <c r="G19" s="20" t="n">
        <v>9077</v>
      </c>
      <c r="H19" s="21" t="n">
        <v>156</v>
      </c>
      <c r="I19" s="21" t="n">
        <v>3</v>
      </c>
      <c r="J19" s="21" t="n">
        <v>1871.04</v>
      </c>
    </row>
    <row r="20">
      <c r="A20" s="19" t="n">
        <v>46220</v>
      </c>
      <c r="B20" t="inlineStr">
        <is>
          <t>Meta</t>
        </is>
      </c>
      <c r="C20" t="inlineStr">
        <is>
          <t>VID | Founder story | v3</t>
        </is>
      </c>
      <c r="D20" t="inlineStr">
        <is>
          <t>Prospecting | Broad | EG</t>
        </is>
      </c>
      <c r="E20" t="inlineStr">
        <is>
          <t>UGC-Founder</t>
        </is>
      </c>
      <c r="F20" t="n">
        <v>441.19</v>
      </c>
      <c r="G20" s="20" t="n">
        <v>6800</v>
      </c>
      <c r="H20" s="21" t="n">
        <v>117</v>
      </c>
      <c r="I20" s="21" t="n">
        <v>2</v>
      </c>
      <c r="J20" s="21" t="n">
        <v>1375.9</v>
      </c>
    </row>
    <row r="21">
      <c r="A21" s="19" t="n">
        <v>46220</v>
      </c>
      <c r="B21" t="inlineStr">
        <is>
          <t>Meta</t>
        </is>
      </c>
      <c r="C21" t="inlineStr">
        <is>
          <t>VID | Review compilation | v1</t>
        </is>
      </c>
      <c r="D21" t="inlineStr">
        <is>
          <t>Prospecting | Interest | EG</t>
        </is>
      </c>
      <c r="E21" t="inlineStr">
        <is>
          <t>UGC-Reviews</t>
        </is>
      </c>
      <c r="F21" t="n">
        <v>463.51</v>
      </c>
      <c r="G21" s="20" t="n">
        <v>7144</v>
      </c>
      <c r="H21" s="21" t="n">
        <v>123</v>
      </c>
      <c r="I21" s="21" t="n">
        <v>3</v>
      </c>
      <c r="J21" s="21" t="n">
        <v>2026.67</v>
      </c>
    </row>
    <row r="22">
      <c r="A22" s="19" t="n">
        <v>46220</v>
      </c>
      <c r="B22" t="inlineStr">
        <is>
          <t>Meta</t>
        </is>
      </c>
      <c r="C22" t="inlineStr">
        <is>
          <t>STATIC | Bundle offer | v1</t>
        </is>
      </c>
      <c r="D22" t="inlineStr">
        <is>
          <t>Test | Broad | EG</t>
        </is>
      </c>
      <c r="E22" t="inlineStr">
        <is>
          <t>Static-Bundle</t>
        </is>
      </c>
      <c r="F22" t="n">
        <v>357.24</v>
      </c>
      <c r="G22" s="20" t="n">
        <v>5506</v>
      </c>
      <c r="H22" s="21" t="n">
        <v>95</v>
      </c>
      <c r="I22" s="21" t="n">
        <v>1</v>
      </c>
      <c r="J22" s="21" t="n">
        <v>616.45</v>
      </c>
    </row>
    <row r="23">
      <c r="A23" s="19" t="n">
        <v>46220</v>
      </c>
      <c r="B23" t="inlineStr">
        <is>
          <t>Meta</t>
        </is>
      </c>
      <c r="C23" t="inlineStr">
        <is>
          <t>STATIC | Discount 20% | v1</t>
        </is>
      </c>
      <c r="D23" t="inlineStr">
        <is>
          <t>Retargeting | 7d IC</t>
        </is>
      </c>
      <c r="E23" t="inlineStr">
        <is>
          <t>Static-Discount</t>
        </is>
      </c>
      <c r="F23" t="n">
        <v>276.28</v>
      </c>
      <c r="G23" s="20" t="n">
        <v>4258</v>
      </c>
      <c r="H23" s="21" t="n">
        <v>73</v>
      </c>
      <c r="I23" s="21" t="n">
        <v>3</v>
      </c>
      <c r="J23" s="21" t="n">
        <v>1978.11</v>
      </c>
    </row>
    <row r="24">
      <c r="A24" s="19" t="n">
        <v>46220</v>
      </c>
      <c r="B24" t="inlineStr">
        <is>
          <t>Meta</t>
        </is>
      </c>
      <c r="C24" t="inlineStr">
        <is>
          <t>CAROUSEL | Best sellers</t>
        </is>
      </c>
      <c r="D24" t="inlineStr">
        <is>
          <t>Retargeting | 14d ATC</t>
        </is>
      </c>
      <c r="E24" t="inlineStr">
        <is>
          <t>Carousel-Bestsellers</t>
        </is>
      </c>
      <c r="F24" t="n">
        <v>186.67</v>
      </c>
      <c r="G24" s="20" t="n">
        <v>2877</v>
      </c>
      <c r="H24" s="21" t="n">
        <v>49</v>
      </c>
      <c r="I24" s="21" t="n">
        <v>2</v>
      </c>
      <c r="J24" s="21" t="n">
        <v>1305.94</v>
      </c>
    </row>
    <row r="25">
      <c r="A25" s="19" t="n">
        <v>46220</v>
      </c>
      <c r="B25" t="inlineStr">
        <is>
          <t>Meta</t>
        </is>
      </c>
      <c r="C25" t="inlineStr">
        <is>
          <t>VID | Founder story | v1</t>
        </is>
      </c>
      <c r="D25" t="inlineStr">
        <is>
          <t>Prospecting | Broad | EG</t>
        </is>
      </c>
      <c r="E25" t="inlineStr">
        <is>
          <t>UGC-Founder</t>
        </is>
      </c>
      <c r="F25" t="n">
        <v>162.21</v>
      </c>
      <c r="G25" s="20" t="n">
        <v>2500</v>
      </c>
      <c r="H25" s="21" t="n">
        <v>43</v>
      </c>
      <c r="I25" s="21" t="n">
        <v>0</v>
      </c>
      <c r="J25" s="21" t="n">
        <v>0</v>
      </c>
    </row>
    <row r="26">
      <c r="A26" s="19" t="n">
        <v>46221</v>
      </c>
      <c r="B26" t="inlineStr">
        <is>
          <t>Meta</t>
        </is>
      </c>
      <c r="C26" t="inlineStr">
        <is>
          <t>VID | Founder story | v4</t>
        </is>
      </c>
      <c r="D26" t="inlineStr">
        <is>
          <t>Prospecting | Broad | EG</t>
        </is>
      </c>
      <c r="E26" t="inlineStr">
        <is>
          <t>UGC-Founder</t>
        </is>
      </c>
      <c r="F26" t="n">
        <v>1012.97</v>
      </c>
      <c r="G26" s="20" t="n">
        <v>15544</v>
      </c>
      <c r="H26" s="21" t="n">
        <v>281</v>
      </c>
      <c r="I26" s="21" t="n">
        <v>6</v>
      </c>
      <c r="J26" s="21" t="n">
        <v>3659.4</v>
      </c>
    </row>
    <row r="27">
      <c r="A27" s="19" t="n">
        <v>46221</v>
      </c>
      <c r="B27" t="inlineStr">
        <is>
          <t>Meta</t>
        </is>
      </c>
      <c r="C27" t="inlineStr">
        <is>
          <t>STATIC | Bundle offer | v2</t>
        </is>
      </c>
      <c r="D27" t="inlineStr">
        <is>
          <t>Prospecting | Broad | EG</t>
        </is>
      </c>
      <c r="E27" t="inlineStr">
        <is>
          <t>Static-Bundle</t>
        </is>
      </c>
      <c r="F27" t="n">
        <v>591.62</v>
      </c>
      <c r="G27" s="20" t="n">
        <v>9079</v>
      </c>
      <c r="H27" s="21" t="n">
        <v>164</v>
      </c>
      <c r="I27" s="21" t="n">
        <v>3</v>
      </c>
      <c r="J27" s="21" t="n">
        <v>2083.25</v>
      </c>
    </row>
    <row r="28">
      <c r="A28" s="19" t="n">
        <v>46221</v>
      </c>
      <c r="B28" t="inlineStr">
        <is>
          <t>Meta</t>
        </is>
      </c>
      <c r="C28" t="inlineStr">
        <is>
          <t>VID | Founder story | v3</t>
        </is>
      </c>
      <c r="D28" t="inlineStr">
        <is>
          <t>Prospecting | Broad | EG</t>
        </is>
      </c>
      <c r="E28" t="inlineStr">
        <is>
          <t>UGC-Founder</t>
        </is>
      </c>
      <c r="F28" t="n">
        <v>542.13</v>
      </c>
      <c r="G28" s="20" t="n">
        <v>8319</v>
      </c>
      <c r="H28" s="21" t="n">
        <v>150</v>
      </c>
      <c r="I28" s="21" t="n">
        <v>2</v>
      </c>
      <c r="J28" s="21" t="n">
        <v>1414.73</v>
      </c>
    </row>
    <row r="29">
      <c r="A29" s="19" t="n">
        <v>46221</v>
      </c>
      <c r="B29" t="inlineStr">
        <is>
          <t>Meta</t>
        </is>
      </c>
      <c r="C29" t="inlineStr">
        <is>
          <t>VID | Review compilation | v1</t>
        </is>
      </c>
      <c r="D29" t="inlineStr">
        <is>
          <t>Prospecting | Interest | EG</t>
        </is>
      </c>
      <c r="E29" t="inlineStr">
        <is>
          <t>UGC-Reviews</t>
        </is>
      </c>
      <c r="F29" t="n">
        <v>419.57</v>
      </c>
      <c r="G29" s="20" t="n">
        <v>6438</v>
      </c>
      <c r="H29" s="21" t="n">
        <v>116</v>
      </c>
      <c r="I29" s="21" t="n">
        <v>2</v>
      </c>
      <c r="J29" s="21" t="n">
        <v>1363.25</v>
      </c>
    </row>
    <row r="30">
      <c r="A30" s="19" t="n">
        <v>46221</v>
      </c>
      <c r="B30" t="inlineStr">
        <is>
          <t>Meta</t>
        </is>
      </c>
      <c r="C30" t="inlineStr">
        <is>
          <t>STATIC | Bundle offer | v1</t>
        </is>
      </c>
      <c r="D30" t="inlineStr">
        <is>
          <t>Test | Broad | EG</t>
        </is>
      </c>
      <c r="E30" t="inlineStr">
        <is>
          <t>Static-Bundle</t>
        </is>
      </c>
      <c r="F30" t="n">
        <v>308.15</v>
      </c>
      <c r="G30" s="20" t="n">
        <v>4729</v>
      </c>
      <c r="H30" s="21" t="n">
        <v>85</v>
      </c>
      <c r="I30" s="21" t="n">
        <v>1</v>
      </c>
      <c r="J30" s="21" t="n">
        <v>722.26</v>
      </c>
    </row>
    <row r="31">
      <c r="A31" s="19" t="n">
        <v>46221</v>
      </c>
      <c r="B31" t="inlineStr">
        <is>
          <t>Meta</t>
        </is>
      </c>
      <c r="C31" t="inlineStr">
        <is>
          <t>STATIC | Discount 20% | v1</t>
        </is>
      </c>
      <c r="D31" t="inlineStr">
        <is>
          <t>Retargeting | 7d IC</t>
        </is>
      </c>
      <c r="E31" t="inlineStr">
        <is>
          <t>Static-Discount</t>
        </is>
      </c>
      <c r="F31" t="n">
        <v>283.57</v>
      </c>
      <c r="G31" s="20" t="n">
        <v>4351</v>
      </c>
      <c r="H31" s="21" t="n">
        <v>79</v>
      </c>
      <c r="I31" s="21" t="n">
        <v>2</v>
      </c>
      <c r="J31" s="21" t="n">
        <v>1293.58</v>
      </c>
    </row>
    <row r="32">
      <c r="A32" s="19" t="n">
        <v>46221</v>
      </c>
      <c r="B32" t="inlineStr">
        <is>
          <t>Meta</t>
        </is>
      </c>
      <c r="C32" t="inlineStr">
        <is>
          <t>CAROUSEL | Best sellers</t>
        </is>
      </c>
      <c r="D32" t="inlineStr">
        <is>
          <t>Retargeting | 14d ATC</t>
        </is>
      </c>
      <c r="E32" t="inlineStr">
        <is>
          <t>Carousel-Bestsellers</t>
        </is>
      </c>
      <c r="F32" t="n">
        <v>165.04</v>
      </c>
      <c r="G32" s="20" t="n">
        <v>2533</v>
      </c>
      <c r="H32" s="21" t="n">
        <v>46</v>
      </c>
      <c r="I32" s="21" t="n">
        <v>2</v>
      </c>
      <c r="J32" s="21" t="n">
        <v>1396.11</v>
      </c>
    </row>
    <row r="33">
      <c r="A33" s="19" t="n">
        <v>46221</v>
      </c>
      <c r="B33" t="inlineStr">
        <is>
          <t>Meta</t>
        </is>
      </c>
      <c r="C33" t="inlineStr">
        <is>
          <t>VID | Founder story | v1</t>
        </is>
      </c>
      <c r="D33" t="inlineStr">
        <is>
          <t>Prospecting | Broad | EG</t>
        </is>
      </c>
      <c r="E33" t="inlineStr">
        <is>
          <t>UGC-Founder</t>
        </is>
      </c>
      <c r="F33" t="n">
        <v>146.94</v>
      </c>
      <c r="G33" s="20" t="n">
        <v>2255</v>
      </c>
      <c r="H33" s="21" t="n">
        <v>41</v>
      </c>
      <c r="I33" s="21" t="n">
        <v>0</v>
      </c>
      <c r="J33" s="21" t="n">
        <v>0</v>
      </c>
    </row>
    <row r="34">
      <c r="A34" s="19" t="n">
        <v>46222</v>
      </c>
      <c r="B34" t="inlineStr">
        <is>
          <t>Meta</t>
        </is>
      </c>
      <c r="C34" t="inlineStr">
        <is>
          <t>VID | Founder story | v4</t>
        </is>
      </c>
      <c r="D34" t="inlineStr">
        <is>
          <t>Prospecting | Broad | EG</t>
        </is>
      </c>
      <c r="E34" t="inlineStr">
        <is>
          <t>UGC-Founder</t>
        </is>
      </c>
      <c r="F34" t="n">
        <v>951.63</v>
      </c>
      <c r="G34" s="20" t="n">
        <v>15285</v>
      </c>
      <c r="H34" s="21" t="n">
        <v>226</v>
      </c>
      <c r="I34" s="21" t="n">
        <v>5</v>
      </c>
      <c r="J34" s="21" t="n">
        <v>3630.8</v>
      </c>
    </row>
    <row r="35">
      <c r="A35" s="19" t="n">
        <v>46222</v>
      </c>
      <c r="B35" t="inlineStr">
        <is>
          <t>Meta</t>
        </is>
      </c>
      <c r="C35" t="inlineStr">
        <is>
          <t>STATIC | Bundle offer | v2</t>
        </is>
      </c>
      <c r="D35" t="inlineStr">
        <is>
          <t>Prospecting | Broad | EG</t>
        </is>
      </c>
      <c r="E35" t="inlineStr">
        <is>
          <t>Static-Bundle</t>
        </is>
      </c>
      <c r="F35" t="n">
        <v>611.4299999999999</v>
      </c>
      <c r="G35" s="20" t="n">
        <v>9821</v>
      </c>
      <c r="H35" s="21" t="n">
        <v>145</v>
      </c>
      <c r="I35" s="21" t="n">
        <v>3</v>
      </c>
      <c r="J35" s="21" t="n">
        <v>2324.91</v>
      </c>
    </row>
    <row r="36">
      <c r="A36" s="19" t="n">
        <v>46222</v>
      </c>
      <c r="B36" t="inlineStr">
        <is>
          <t>Meta</t>
        </is>
      </c>
      <c r="C36" t="inlineStr">
        <is>
          <t>VID | Founder story | v3</t>
        </is>
      </c>
      <c r="D36" t="inlineStr">
        <is>
          <t>Prospecting | Broad | EG</t>
        </is>
      </c>
      <c r="E36" t="inlineStr">
        <is>
          <t>UGC-Founder</t>
        </is>
      </c>
      <c r="F36" t="n">
        <v>512.0700000000001</v>
      </c>
      <c r="G36" s="20" t="n">
        <v>8225</v>
      </c>
      <c r="H36" s="21" t="n">
        <v>121</v>
      </c>
      <c r="I36" s="21" t="n">
        <v>2</v>
      </c>
      <c r="J36" s="21" t="n">
        <v>1501.64</v>
      </c>
    </row>
    <row r="37">
      <c r="A37" s="19" t="n">
        <v>46222</v>
      </c>
      <c r="B37" t="inlineStr">
        <is>
          <t>Meta</t>
        </is>
      </c>
      <c r="C37" t="inlineStr">
        <is>
          <t>VID | Review compilation | v1</t>
        </is>
      </c>
      <c r="D37" t="inlineStr">
        <is>
          <t>Prospecting | Interest | EG</t>
        </is>
      </c>
      <c r="E37" t="inlineStr">
        <is>
          <t>UGC-Reviews</t>
        </is>
      </c>
      <c r="F37" t="n">
        <v>526.67</v>
      </c>
      <c r="G37" s="20" t="n">
        <v>8459</v>
      </c>
      <c r="H37" s="21" t="n">
        <v>125</v>
      </c>
      <c r="I37" s="21" t="n">
        <v>3</v>
      </c>
      <c r="J37" s="21" t="n">
        <v>2025.04</v>
      </c>
    </row>
    <row r="38">
      <c r="A38" s="19" t="n">
        <v>46222</v>
      </c>
      <c r="B38" t="inlineStr">
        <is>
          <t>Meta</t>
        </is>
      </c>
      <c r="C38" t="inlineStr">
        <is>
          <t>STATIC | Bundle offer | v1</t>
        </is>
      </c>
      <c r="D38" t="inlineStr">
        <is>
          <t>Test | Broad | EG</t>
        </is>
      </c>
      <c r="E38" t="inlineStr">
        <is>
          <t>Static-Bundle</t>
        </is>
      </c>
      <c r="F38" t="n">
        <v>307.38</v>
      </c>
      <c r="G38" s="20" t="n">
        <v>4937</v>
      </c>
      <c r="H38" s="21" t="n">
        <v>73</v>
      </c>
      <c r="I38" s="21" t="n">
        <v>1</v>
      </c>
      <c r="J38" s="21" t="n">
        <v>689.29</v>
      </c>
    </row>
    <row r="39">
      <c r="A39" s="19" t="n">
        <v>46222</v>
      </c>
      <c r="B39" t="inlineStr">
        <is>
          <t>Meta</t>
        </is>
      </c>
      <c r="C39" t="inlineStr">
        <is>
          <t>STATIC | Discount 20% | v1</t>
        </is>
      </c>
      <c r="D39" t="inlineStr">
        <is>
          <t>Retargeting | 7d IC</t>
        </is>
      </c>
      <c r="E39" t="inlineStr">
        <is>
          <t>Static-Discount</t>
        </is>
      </c>
      <c r="F39" t="n">
        <v>270.87</v>
      </c>
      <c r="G39" s="20" t="n">
        <v>4351</v>
      </c>
      <c r="H39" s="21" t="n">
        <v>64</v>
      </c>
      <c r="I39" s="21" t="n">
        <v>2</v>
      </c>
      <c r="J39" s="21" t="n">
        <v>1458.39</v>
      </c>
    </row>
    <row r="40">
      <c r="A40" s="19" t="n">
        <v>46222</v>
      </c>
      <c r="B40" t="inlineStr">
        <is>
          <t>Meta</t>
        </is>
      </c>
      <c r="C40" t="inlineStr">
        <is>
          <t>CAROUSEL | Best sellers</t>
        </is>
      </c>
      <c r="D40" t="inlineStr">
        <is>
          <t>Retargeting | 14d ATC</t>
        </is>
      </c>
      <c r="E40" t="inlineStr">
        <is>
          <t>Carousel-Bestsellers</t>
        </is>
      </c>
      <c r="F40" t="n">
        <v>156.89</v>
      </c>
      <c r="G40" s="20" t="n">
        <v>2520</v>
      </c>
      <c r="H40" s="21" t="n">
        <v>37</v>
      </c>
      <c r="I40" s="21" t="n">
        <v>2</v>
      </c>
      <c r="J40" s="21" t="n">
        <v>1276.09</v>
      </c>
    </row>
    <row r="41">
      <c r="A41" s="19" t="n">
        <v>46222</v>
      </c>
      <c r="B41" t="inlineStr">
        <is>
          <t>Meta</t>
        </is>
      </c>
      <c r="C41" t="inlineStr">
        <is>
          <t>VID | Founder story | v1</t>
        </is>
      </c>
      <c r="D41" t="inlineStr">
        <is>
          <t>Prospecting | Broad | EG</t>
        </is>
      </c>
      <c r="E41" t="inlineStr">
        <is>
          <t>UGC-Founder</t>
        </is>
      </c>
      <c r="F41" t="n">
        <v>153.3</v>
      </c>
      <c r="G41" s="20" t="n">
        <v>2462</v>
      </c>
      <c r="H41" s="21" t="n">
        <v>36</v>
      </c>
      <c r="I41" s="21" t="n">
        <v>0</v>
      </c>
      <c r="J41" s="21" t="n">
        <v>0</v>
      </c>
    </row>
    <row r="42">
      <c r="A42" s="19" t="n">
        <v>46223</v>
      </c>
      <c r="B42" t="inlineStr">
        <is>
          <t>Meta</t>
        </is>
      </c>
      <c r="C42" t="inlineStr">
        <is>
          <t>VID | Founder story | v4</t>
        </is>
      </c>
      <c r="D42" t="inlineStr">
        <is>
          <t>Prospecting | Broad | EG</t>
        </is>
      </c>
      <c r="E42" t="inlineStr">
        <is>
          <t>UGC-Founder</t>
        </is>
      </c>
      <c r="F42" t="n">
        <v>886.75</v>
      </c>
      <c r="G42" s="20" t="n">
        <v>13453</v>
      </c>
      <c r="H42" s="21" t="n">
        <v>206</v>
      </c>
      <c r="I42" s="21" t="n">
        <v>4</v>
      </c>
      <c r="J42" s="21" t="n">
        <v>2571.2</v>
      </c>
    </row>
    <row r="43">
      <c r="A43" s="19" t="n">
        <v>46223</v>
      </c>
      <c r="B43" t="inlineStr">
        <is>
          <t>Meta</t>
        </is>
      </c>
      <c r="C43" t="inlineStr">
        <is>
          <t>STATIC | Bundle offer | v2</t>
        </is>
      </c>
      <c r="D43" t="inlineStr">
        <is>
          <t>Prospecting | Broad | EG</t>
        </is>
      </c>
      <c r="E43" t="inlineStr">
        <is>
          <t>Static-Bundle</t>
        </is>
      </c>
      <c r="F43" t="n">
        <v>581.13</v>
      </c>
      <c r="G43" s="20" t="n">
        <v>8816</v>
      </c>
      <c r="H43" s="21" t="n">
        <v>135</v>
      </c>
      <c r="I43" s="21" t="n">
        <v>2</v>
      </c>
      <c r="J43" s="21" t="n">
        <v>1389.05</v>
      </c>
    </row>
    <row r="44">
      <c r="A44" s="19" t="n">
        <v>46223</v>
      </c>
      <c r="B44" t="inlineStr">
        <is>
          <t>Meta</t>
        </is>
      </c>
      <c r="C44" t="inlineStr">
        <is>
          <t>VID | Founder story | v3</t>
        </is>
      </c>
      <c r="D44" t="inlineStr">
        <is>
          <t>Prospecting | Broad | EG</t>
        </is>
      </c>
      <c r="E44" t="inlineStr">
        <is>
          <t>UGC-Founder</t>
        </is>
      </c>
      <c r="F44" t="n">
        <v>427.26</v>
      </c>
      <c r="G44" s="20" t="n">
        <v>6482</v>
      </c>
      <c r="H44" s="21" t="n">
        <v>99</v>
      </c>
      <c r="I44" s="21" t="n">
        <v>2</v>
      </c>
      <c r="J44" s="21" t="n">
        <v>1417.19</v>
      </c>
    </row>
    <row r="45">
      <c r="A45" s="19" t="n">
        <v>46223</v>
      </c>
      <c r="B45" t="inlineStr">
        <is>
          <t>Meta</t>
        </is>
      </c>
      <c r="C45" t="inlineStr">
        <is>
          <t>VID | Review compilation | v1</t>
        </is>
      </c>
      <c r="D45" t="inlineStr">
        <is>
          <t>Prospecting | Interest | EG</t>
        </is>
      </c>
      <c r="E45" t="inlineStr">
        <is>
          <t>UGC-Reviews</t>
        </is>
      </c>
      <c r="F45" t="n">
        <v>532.03</v>
      </c>
      <c r="G45" s="20" t="n">
        <v>8071</v>
      </c>
      <c r="H45" s="21" t="n">
        <v>124</v>
      </c>
      <c r="I45" s="21" t="n">
        <v>2</v>
      </c>
      <c r="J45" s="21" t="n">
        <v>1510.92</v>
      </c>
    </row>
    <row r="46">
      <c r="A46" s="19" t="n">
        <v>46223</v>
      </c>
      <c r="B46" t="inlineStr">
        <is>
          <t>Meta</t>
        </is>
      </c>
      <c r="C46" t="inlineStr">
        <is>
          <t>STATIC | Bundle offer | v1</t>
        </is>
      </c>
      <c r="D46" t="inlineStr">
        <is>
          <t>Test | Broad | EG</t>
        </is>
      </c>
      <c r="E46" t="inlineStr">
        <is>
          <t>Static-Bundle</t>
        </is>
      </c>
      <c r="F46" t="n">
        <v>291.77</v>
      </c>
      <c r="G46" s="20" t="n">
        <v>4426</v>
      </c>
      <c r="H46" s="21" t="n">
        <v>68</v>
      </c>
      <c r="I46" s="21" t="n">
        <v>1</v>
      </c>
      <c r="J46" s="21" t="n">
        <v>746.46</v>
      </c>
    </row>
    <row r="47">
      <c r="A47" s="19" t="n">
        <v>46223</v>
      </c>
      <c r="B47" t="inlineStr">
        <is>
          <t>Meta</t>
        </is>
      </c>
      <c r="C47" t="inlineStr">
        <is>
          <t>STATIC | Discount 20% | v1</t>
        </is>
      </c>
      <c r="D47" t="inlineStr">
        <is>
          <t>Retargeting | 7d IC</t>
        </is>
      </c>
      <c r="E47" t="inlineStr">
        <is>
          <t>Static-Discount</t>
        </is>
      </c>
      <c r="F47" t="n">
        <v>252.85</v>
      </c>
      <c r="G47" s="20" t="n">
        <v>3836</v>
      </c>
      <c r="H47" s="21" t="n">
        <v>59</v>
      </c>
      <c r="I47" s="21" t="n">
        <v>2</v>
      </c>
      <c r="J47" s="21" t="n">
        <v>1505.47</v>
      </c>
    </row>
    <row r="48">
      <c r="A48" s="19" t="n">
        <v>46223</v>
      </c>
      <c r="B48" t="inlineStr">
        <is>
          <t>Meta</t>
        </is>
      </c>
      <c r="C48" t="inlineStr">
        <is>
          <t>CAROUSEL | Best sellers</t>
        </is>
      </c>
      <c r="D48" t="inlineStr">
        <is>
          <t>Retargeting | 14d ATC</t>
        </is>
      </c>
      <c r="E48" t="inlineStr">
        <is>
          <t>Carousel-Bestsellers</t>
        </is>
      </c>
      <c r="F48" t="n">
        <v>185.23</v>
      </c>
      <c r="G48" s="20" t="n">
        <v>2810</v>
      </c>
      <c r="H48" s="21" t="n">
        <v>43</v>
      </c>
      <c r="I48" s="21" t="n">
        <v>2</v>
      </c>
      <c r="J48" s="21" t="n">
        <v>1341.13</v>
      </c>
    </row>
    <row r="49">
      <c r="A49" s="19" t="n">
        <v>46223</v>
      </c>
      <c r="B49" t="inlineStr">
        <is>
          <t>Meta</t>
        </is>
      </c>
      <c r="C49" t="inlineStr">
        <is>
          <t>VID | Founder story | v1</t>
        </is>
      </c>
      <c r="D49" t="inlineStr">
        <is>
          <t>Prospecting | Broad | EG</t>
        </is>
      </c>
      <c r="E49" t="inlineStr">
        <is>
          <t>UGC-Founder</t>
        </is>
      </c>
      <c r="F49" t="n">
        <v>170.26</v>
      </c>
      <c r="G49" s="20" t="n">
        <v>2583</v>
      </c>
      <c r="H49" s="21" t="n">
        <v>40</v>
      </c>
      <c r="I49" s="21" t="n">
        <v>0</v>
      </c>
      <c r="J49" s="21" t="n">
        <v>0</v>
      </c>
    </row>
    <row r="50">
      <c r="A50" s="19" t="n">
        <v>46224</v>
      </c>
      <c r="B50" t="inlineStr">
        <is>
          <t>Meta</t>
        </is>
      </c>
      <c r="C50" t="inlineStr">
        <is>
          <t>VID | Founder story | v4</t>
        </is>
      </c>
      <c r="D50" t="inlineStr">
        <is>
          <t>Prospecting | Broad | EG</t>
        </is>
      </c>
      <c r="E50" t="inlineStr">
        <is>
          <t>UGC-Founder</t>
        </is>
      </c>
      <c r="F50" t="n">
        <v>846.6</v>
      </c>
      <c r="G50" s="20" t="n">
        <v>13315</v>
      </c>
      <c r="H50" s="21" t="n">
        <v>220</v>
      </c>
      <c r="I50" s="21" t="n">
        <v>6</v>
      </c>
      <c r="J50" s="21" t="n">
        <v>4282.53</v>
      </c>
    </row>
    <row r="51">
      <c r="A51" s="19" t="n">
        <v>46224</v>
      </c>
      <c r="B51" t="inlineStr">
        <is>
          <t>Meta</t>
        </is>
      </c>
      <c r="C51" t="inlineStr">
        <is>
          <t>STATIC | Bundle offer | v2</t>
        </is>
      </c>
      <c r="D51" t="inlineStr">
        <is>
          <t>Prospecting | Broad | EG</t>
        </is>
      </c>
      <c r="E51" t="inlineStr">
        <is>
          <t>Static-Bundle</t>
        </is>
      </c>
      <c r="F51" t="n">
        <v>657.3</v>
      </c>
      <c r="G51" s="20" t="n">
        <v>10338</v>
      </c>
      <c r="H51" s="21" t="n">
        <v>170</v>
      </c>
      <c r="I51" s="21" t="n">
        <v>4</v>
      </c>
      <c r="J51" s="21" t="n">
        <v>2671.92</v>
      </c>
    </row>
    <row r="52">
      <c r="A52" s="19" t="n">
        <v>46224</v>
      </c>
      <c r="B52" t="inlineStr">
        <is>
          <t>Meta</t>
        </is>
      </c>
      <c r="C52" t="inlineStr">
        <is>
          <t>VID | Founder story | v3</t>
        </is>
      </c>
      <c r="D52" t="inlineStr">
        <is>
          <t>Prospecting | Broad | EG</t>
        </is>
      </c>
      <c r="E52" t="inlineStr">
        <is>
          <t>UGC-Founder</t>
        </is>
      </c>
      <c r="F52" t="n">
        <v>502.73</v>
      </c>
      <c r="G52" s="20" t="n">
        <v>7907</v>
      </c>
      <c r="H52" s="21" t="n">
        <v>130</v>
      </c>
      <c r="I52" s="21" t="n">
        <v>3</v>
      </c>
      <c r="J52" s="21" t="n">
        <v>1895.11</v>
      </c>
    </row>
    <row r="53">
      <c r="A53" s="19" t="n">
        <v>46224</v>
      </c>
      <c r="B53" t="inlineStr">
        <is>
          <t>Meta</t>
        </is>
      </c>
      <c r="C53" t="inlineStr">
        <is>
          <t>VID | Review compilation | v1</t>
        </is>
      </c>
      <c r="D53" t="inlineStr">
        <is>
          <t>Prospecting | Interest | EG</t>
        </is>
      </c>
      <c r="E53" t="inlineStr">
        <is>
          <t>UGC-Reviews</t>
        </is>
      </c>
      <c r="F53" t="n">
        <v>395.74</v>
      </c>
      <c r="G53" s="20" t="n">
        <v>6224</v>
      </c>
      <c r="H53" s="21" t="n">
        <v>103</v>
      </c>
      <c r="I53" s="21" t="n">
        <v>2</v>
      </c>
      <c r="J53" s="21" t="n">
        <v>1379.78</v>
      </c>
    </row>
    <row r="54">
      <c r="A54" s="19" t="n">
        <v>46224</v>
      </c>
      <c r="B54" t="inlineStr">
        <is>
          <t>Meta</t>
        </is>
      </c>
      <c r="C54" t="inlineStr">
        <is>
          <t>STATIC | Bundle offer | v1</t>
        </is>
      </c>
      <c r="D54" t="inlineStr">
        <is>
          <t>Test | Broad | EG</t>
        </is>
      </c>
      <c r="E54" t="inlineStr">
        <is>
          <t>Static-Bundle</t>
        </is>
      </c>
      <c r="F54" t="n">
        <v>266.06</v>
      </c>
      <c r="G54" s="20" t="n">
        <v>4184</v>
      </c>
      <c r="H54" s="21" t="n">
        <v>69</v>
      </c>
      <c r="I54" s="21" t="n">
        <v>1</v>
      </c>
      <c r="J54" s="21" t="n">
        <v>682.92</v>
      </c>
    </row>
    <row r="55">
      <c r="A55" s="19" t="n">
        <v>46224</v>
      </c>
      <c r="B55" t="inlineStr">
        <is>
          <t>Meta</t>
        </is>
      </c>
      <c r="C55" t="inlineStr">
        <is>
          <t>STATIC | Discount 20% | v1</t>
        </is>
      </c>
      <c r="D55" t="inlineStr">
        <is>
          <t>Retargeting | 7d IC</t>
        </is>
      </c>
      <c r="E55" t="inlineStr">
        <is>
          <t>Static-Discount</t>
        </is>
      </c>
      <c r="F55" t="n">
        <v>225.82</v>
      </c>
      <c r="G55" s="20" t="n">
        <v>3552</v>
      </c>
      <c r="H55" s="21" t="n">
        <v>59</v>
      </c>
      <c r="I55" s="21" t="n">
        <v>3</v>
      </c>
      <c r="J55" s="21" t="n">
        <v>2131.68</v>
      </c>
    </row>
    <row r="56">
      <c r="A56" s="19" t="n">
        <v>46224</v>
      </c>
      <c r="B56" t="inlineStr">
        <is>
          <t>Meta</t>
        </is>
      </c>
      <c r="C56" t="inlineStr">
        <is>
          <t>CAROUSEL | Best sellers</t>
        </is>
      </c>
      <c r="D56" t="inlineStr">
        <is>
          <t>Retargeting | 14d ATC</t>
        </is>
      </c>
      <c r="E56" t="inlineStr">
        <is>
          <t>Carousel-Bestsellers</t>
        </is>
      </c>
      <c r="F56" t="n">
        <v>158.15</v>
      </c>
      <c r="G56" s="20" t="n">
        <v>2487</v>
      </c>
      <c r="H56" s="21" t="n">
        <v>41</v>
      </c>
      <c r="I56" s="21" t="n">
        <v>2</v>
      </c>
      <c r="J56" s="21" t="n">
        <v>1529.61</v>
      </c>
    </row>
    <row r="57">
      <c r="A57" s="19" t="n">
        <v>46224</v>
      </c>
      <c r="B57" t="inlineStr">
        <is>
          <t>Meta</t>
        </is>
      </c>
      <c r="C57" t="inlineStr">
        <is>
          <t>VID | Founder story | v1</t>
        </is>
      </c>
      <c r="D57" t="inlineStr">
        <is>
          <t>Prospecting | Broad | EG</t>
        </is>
      </c>
      <c r="E57" t="inlineStr">
        <is>
          <t>UGC-Founder</t>
        </is>
      </c>
      <c r="F57" t="n">
        <v>136.9</v>
      </c>
      <c r="G57" s="20" t="n">
        <v>2153</v>
      </c>
      <c r="H57" s="21" t="n">
        <v>35</v>
      </c>
      <c r="I57" s="21" t="n">
        <v>0</v>
      </c>
      <c r="J57" s="21" t="n">
        <v>0</v>
      </c>
    </row>
    <row r="58">
      <c r="A58" s="19" t="n">
        <v>46225</v>
      </c>
      <c r="B58" t="inlineStr">
        <is>
          <t>Meta</t>
        </is>
      </c>
      <c r="C58" t="inlineStr">
        <is>
          <t>VID | Founder story | v4</t>
        </is>
      </c>
      <c r="D58" t="inlineStr">
        <is>
          <t>Prospecting | Broad | EG</t>
        </is>
      </c>
      <c r="E58" t="inlineStr">
        <is>
          <t>UGC-Founder</t>
        </is>
      </c>
      <c r="F58" t="n">
        <v>831.4400000000001</v>
      </c>
      <c r="G58" s="20" t="n">
        <v>13014</v>
      </c>
      <c r="H58" s="21" t="n">
        <v>209</v>
      </c>
      <c r="I58" s="21" t="n">
        <v>4</v>
      </c>
      <c r="J58" s="21" t="n">
        <v>2987.31</v>
      </c>
    </row>
    <row r="59">
      <c r="A59" s="19" t="n">
        <v>46225</v>
      </c>
      <c r="B59" t="inlineStr">
        <is>
          <t>Meta</t>
        </is>
      </c>
      <c r="C59" t="inlineStr">
        <is>
          <t>STATIC | Bundle offer | v2</t>
        </is>
      </c>
      <c r="D59" t="inlineStr">
        <is>
          <t>Prospecting | Broad | EG</t>
        </is>
      </c>
      <c r="E59" t="inlineStr">
        <is>
          <t>Static-Bundle</t>
        </is>
      </c>
      <c r="F59" t="n">
        <v>571.1900000000001</v>
      </c>
      <c r="G59" s="20" t="n">
        <v>8941</v>
      </c>
      <c r="H59" s="21" t="n">
        <v>143</v>
      </c>
      <c r="I59" s="21" t="n">
        <v>2</v>
      </c>
      <c r="J59" s="21" t="n">
        <v>1495.67</v>
      </c>
    </row>
    <row r="60">
      <c r="A60" s="19" t="n">
        <v>46225</v>
      </c>
      <c r="B60" t="inlineStr">
        <is>
          <t>Meta</t>
        </is>
      </c>
      <c r="C60" t="inlineStr">
        <is>
          <t>VID | Founder story | v3</t>
        </is>
      </c>
      <c r="D60" t="inlineStr">
        <is>
          <t>Prospecting | Broad | EG</t>
        </is>
      </c>
      <c r="E60" t="inlineStr">
        <is>
          <t>UGC-Founder</t>
        </is>
      </c>
      <c r="F60" t="n">
        <v>435.67</v>
      </c>
      <c r="G60" s="20" t="n">
        <v>6819</v>
      </c>
      <c r="H60" s="21" t="n">
        <v>109</v>
      </c>
      <c r="I60" s="21" t="n">
        <v>2</v>
      </c>
      <c r="J60" s="21" t="n">
        <v>1405.47</v>
      </c>
    </row>
    <row r="61">
      <c r="A61" s="19" t="n">
        <v>46225</v>
      </c>
      <c r="B61" t="inlineStr">
        <is>
          <t>Meta</t>
        </is>
      </c>
      <c r="C61" t="inlineStr">
        <is>
          <t>VID | Review compilation | v1</t>
        </is>
      </c>
      <c r="D61" t="inlineStr">
        <is>
          <t>Prospecting | Interest | EG</t>
        </is>
      </c>
      <c r="E61" t="inlineStr">
        <is>
          <t>UGC-Reviews</t>
        </is>
      </c>
      <c r="F61" t="n">
        <v>358.43</v>
      </c>
      <c r="G61" s="20" t="n">
        <v>5610</v>
      </c>
      <c r="H61" s="21" t="n">
        <v>90</v>
      </c>
      <c r="I61" s="21" t="n">
        <v>1</v>
      </c>
      <c r="J61" s="21" t="n">
        <v>783.76</v>
      </c>
    </row>
    <row r="62">
      <c r="A62" s="19" t="n">
        <v>46225</v>
      </c>
      <c r="B62" t="inlineStr">
        <is>
          <t>Meta</t>
        </is>
      </c>
      <c r="C62" t="inlineStr">
        <is>
          <t>STATIC | Bundle offer | v1</t>
        </is>
      </c>
      <c r="D62" t="inlineStr">
        <is>
          <t>Test | Broad | EG</t>
        </is>
      </c>
      <c r="E62" t="inlineStr">
        <is>
          <t>Static-Bundle</t>
        </is>
      </c>
      <c r="F62" t="n">
        <v>308.93</v>
      </c>
      <c r="G62" s="20" t="n">
        <v>4836</v>
      </c>
      <c r="H62" s="21" t="n">
        <v>77</v>
      </c>
      <c r="I62" s="21" t="n">
        <v>1</v>
      </c>
      <c r="J62" s="21" t="n">
        <v>696.4299999999999</v>
      </c>
    </row>
    <row r="63">
      <c r="A63" s="19" t="n">
        <v>46225</v>
      </c>
      <c r="B63" t="inlineStr">
        <is>
          <t>Meta</t>
        </is>
      </c>
      <c r="C63" t="inlineStr">
        <is>
          <t>STATIC | Discount 20% | v1</t>
        </is>
      </c>
      <c r="D63" t="inlineStr">
        <is>
          <t>Retargeting | 7d IC</t>
        </is>
      </c>
      <c r="E63" t="inlineStr">
        <is>
          <t>Static-Discount</t>
        </is>
      </c>
      <c r="F63" t="n">
        <v>249.2</v>
      </c>
      <c r="G63" s="20" t="n">
        <v>3901</v>
      </c>
      <c r="H63" s="21" t="n">
        <v>62</v>
      </c>
      <c r="I63" s="21" t="n">
        <v>2</v>
      </c>
      <c r="J63" s="21" t="n">
        <v>1394.42</v>
      </c>
    </row>
    <row r="64">
      <c r="A64" s="19" t="n">
        <v>46225</v>
      </c>
      <c r="B64" t="inlineStr">
        <is>
          <t>Meta</t>
        </is>
      </c>
      <c r="C64" t="inlineStr">
        <is>
          <t>CAROUSEL | Best sellers</t>
        </is>
      </c>
      <c r="D64" t="inlineStr">
        <is>
          <t>Retargeting | 14d ATC</t>
        </is>
      </c>
      <c r="E64" t="inlineStr">
        <is>
          <t>Carousel-Bestsellers</t>
        </is>
      </c>
      <c r="F64" t="n">
        <v>179</v>
      </c>
      <c r="G64" s="20" t="n">
        <v>2802</v>
      </c>
      <c r="H64" s="21" t="n">
        <v>45</v>
      </c>
      <c r="I64" s="21" t="n">
        <v>1</v>
      </c>
      <c r="J64" s="21" t="n">
        <v>718.8</v>
      </c>
    </row>
    <row r="65">
      <c r="A65" s="19" t="n">
        <v>46225</v>
      </c>
      <c r="B65" t="inlineStr">
        <is>
          <t>Meta</t>
        </is>
      </c>
      <c r="C65" t="inlineStr">
        <is>
          <t>VID | Founder story | v1</t>
        </is>
      </c>
      <c r="D65" t="inlineStr">
        <is>
          <t>Prospecting | Broad | EG</t>
        </is>
      </c>
      <c r="E65" t="inlineStr">
        <is>
          <t>UGC-Founder</t>
        </is>
      </c>
      <c r="F65" t="n">
        <v>140.24</v>
      </c>
      <c r="G65" s="20" t="n">
        <v>2195</v>
      </c>
      <c r="H65" s="21" t="n">
        <v>35</v>
      </c>
      <c r="I65" s="21" t="n">
        <v>0</v>
      </c>
      <c r="J65" s="21" t="n">
        <v>0</v>
      </c>
    </row>
    <row r="66">
      <c r="A66" s="19" t="n">
        <v>46226</v>
      </c>
      <c r="B66" t="inlineStr">
        <is>
          <t>Meta</t>
        </is>
      </c>
      <c r="C66" t="inlineStr">
        <is>
          <t>VID | Founder story | v4</t>
        </is>
      </c>
      <c r="D66" t="inlineStr">
        <is>
          <t>Prospecting | Broad | EG</t>
        </is>
      </c>
      <c r="E66" t="inlineStr">
        <is>
          <t>UGC-Founder</t>
        </is>
      </c>
      <c r="F66" t="n">
        <v>927.1</v>
      </c>
      <c r="G66" s="20" t="n">
        <v>15272</v>
      </c>
      <c r="H66" s="21" t="n">
        <v>221</v>
      </c>
      <c r="I66" s="21" t="n">
        <v>5</v>
      </c>
      <c r="J66" s="21" t="n">
        <v>3727.59</v>
      </c>
    </row>
    <row r="67">
      <c r="A67" s="19" t="n">
        <v>46226</v>
      </c>
      <c r="B67" t="inlineStr">
        <is>
          <t>Meta</t>
        </is>
      </c>
      <c r="C67" t="inlineStr">
        <is>
          <t>STATIC | Bundle offer | v2</t>
        </is>
      </c>
      <c r="D67" t="inlineStr">
        <is>
          <t>Prospecting | Broad | EG</t>
        </is>
      </c>
      <c r="E67" t="inlineStr">
        <is>
          <t>Static-Bundle</t>
        </is>
      </c>
      <c r="F67" t="n">
        <v>562.0700000000001</v>
      </c>
      <c r="G67" s="20" t="n">
        <v>9259</v>
      </c>
      <c r="H67" s="21" t="n">
        <v>134</v>
      </c>
      <c r="I67" s="21" t="n">
        <v>3</v>
      </c>
      <c r="J67" s="21" t="n">
        <v>2032.96</v>
      </c>
    </row>
    <row r="68">
      <c r="A68" s="19" t="n">
        <v>46226</v>
      </c>
      <c r="B68" t="inlineStr">
        <is>
          <t>Meta</t>
        </is>
      </c>
      <c r="C68" t="inlineStr">
        <is>
          <t>VID | Founder story | v3</t>
        </is>
      </c>
      <c r="D68" t="inlineStr">
        <is>
          <t>Prospecting | Broad | EG</t>
        </is>
      </c>
      <c r="E68" t="inlineStr">
        <is>
          <t>UGC-Founder</t>
        </is>
      </c>
      <c r="F68" t="n">
        <v>413.91</v>
      </c>
      <c r="G68" s="20" t="n">
        <v>6818</v>
      </c>
      <c r="H68" s="21" t="n">
        <v>99</v>
      </c>
      <c r="I68" s="21" t="n">
        <v>2</v>
      </c>
      <c r="J68" s="21" t="n">
        <v>1385.55</v>
      </c>
    </row>
    <row r="69">
      <c r="A69" s="19" t="n">
        <v>46226</v>
      </c>
      <c r="B69" t="inlineStr">
        <is>
          <t>Meta</t>
        </is>
      </c>
      <c r="C69" t="inlineStr">
        <is>
          <t>VID | Review compilation | v1</t>
        </is>
      </c>
      <c r="D69" t="inlineStr">
        <is>
          <t>Prospecting | Interest | EG</t>
        </is>
      </c>
      <c r="E69" t="inlineStr">
        <is>
          <t>UGC-Reviews</t>
        </is>
      </c>
      <c r="F69" t="n">
        <v>435.97</v>
      </c>
      <c r="G69" s="20" t="n">
        <v>7182</v>
      </c>
      <c r="H69" s="21" t="n">
        <v>104</v>
      </c>
      <c r="I69" s="21" t="n">
        <v>2</v>
      </c>
      <c r="J69" s="21" t="n">
        <v>1413.28</v>
      </c>
    </row>
    <row r="70">
      <c r="A70" s="19" t="n">
        <v>46226</v>
      </c>
      <c r="B70" t="inlineStr">
        <is>
          <t>Meta</t>
        </is>
      </c>
      <c r="C70" t="inlineStr">
        <is>
          <t>STATIC | Bundle offer | v1</t>
        </is>
      </c>
      <c r="D70" t="inlineStr">
        <is>
          <t>Test | Broad | EG</t>
        </is>
      </c>
      <c r="E70" t="inlineStr">
        <is>
          <t>Static-Bundle</t>
        </is>
      </c>
      <c r="F70" t="n">
        <v>285.8</v>
      </c>
      <c r="G70" s="20" t="n">
        <v>4708</v>
      </c>
      <c r="H70" s="21" t="n">
        <v>68</v>
      </c>
      <c r="I70" s="21" t="n">
        <v>1</v>
      </c>
      <c r="J70" s="21" t="n">
        <v>709.09</v>
      </c>
    </row>
    <row r="71">
      <c r="A71" s="19" t="n">
        <v>46226</v>
      </c>
      <c r="B71" t="inlineStr">
        <is>
          <t>Meta</t>
        </is>
      </c>
      <c r="C71" t="inlineStr">
        <is>
          <t>STATIC | Discount 20% | v1</t>
        </is>
      </c>
      <c r="D71" t="inlineStr">
        <is>
          <t>Retargeting | 7d IC</t>
        </is>
      </c>
      <c r="E71" t="inlineStr">
        <is>
          <t>Static-Discount</t>
        </is>
      </c>
      <c r="F71" t="n">
        <v>259.44</v>
      </c>
      <c r="G71" s="20" t="n">
        <v>4274</v>
      </c>
      <c r="H71" s="21" t="n">
        <v>62</v>
      </c>
      <c r="I71" s="21" t="n">
        <v>2</v>
      </c>
      <c r="J71" s="21" t="n">
        <v>1347.81</v>
      </c>
    </row>
    <row r="72">
      <c r="A72" s="19" t="n">
        <v>46226</v>
      </c>
      <c r="B72" t="inlineStr">
        <is>
          <t>Meta</t>
        </is>
      </c>
      <c r="C72" t="inlineStr">
        <is>
          <t>CAROUSEL | Best sellers</t>
        </is>
      </c>
      <c r="D72" t="inlineStr">
        <is>
          <t>Retargeting | 14d ATC</t>
        </is>
      </c>
      <c r="E72" t="inlineStr">
        <is>
          <t>Carousel-Bestsellers</t>
        </is>
      </c>
      <c r="F72" t="n">
        <v>162.4</v>
      </c>
      <c r="G72" s="20" t="n">
        <v>2675</v>
      </c>
      <c r="H72" s="21" t="n">
        <v>39</v>
      </c>
      <c r="I72" s="21" t="n">
        <v>2</v>
      </c>
      <c r="J72" s="21" t="n">
        <v>1559.51</v>
      </c>
    </row>
    <row r="73">
      <c r="A73" s="19" t="n">
        <v>46226</v>
      </c>
      <c r="B73" t="inlineStr">
        <is>
          <t>Meta</t>
        </is>
      </c>
      <c r="C73" t="inlineStr">
        <is>
          <t>VID | Founder story | v1</t>
        </is>
      </c>
      <c r="D73" t="inlineStr">
        <is>
          <t>Prospecting | Broad | EG</t>
        </is>
      </c>
      <c r="E73" t="inlineStr">
        <is>
          <t>UGC-Founder</t>
        </is>
      </c>
      <c r="F73" t="n">
        <v>168.5</v>
      </c>
      <c r="G73" s="20" t="n">
        <v>2776</v>
      </c>
      <c r="H73" s="21" t="n">
        <v>40</v>
      </c>
      <c r="I73" s="21" t="n">
        <v>0</v>
      </c>
      <c r="J73" s="21" t="n">
        <v>0</v>
      </c>
    </row>
    <row r="74">
      <c r="A74" s="19" t="n">
        <v>46227</v>
      </c>
      <c r="B74" t="inlineStr">
        <is>
          <t>Meta</t>
        </is>
      </c>
      <c r="C74" t="inlineStr">
        <is>
          <t>VID | Founder story | v4</t>
        </is>
      </c>
      <c r="D74" t="inlineStr">
        <is>
          <t>Prospecting | Broad | EG</t>
        </is>
      </c>
      <c r="E74" t="inlineStr">
        <is>
          <t>UGC-Founder</t>
        </is>
      </c>
      <c r="F74" t="n">
        <v>1051.25</v>
      </c>
      <c r="G74" s="20" t="n">
        <v>15949</v>
      </c>
      <c r="H74" s="21" t="n">
        <v>271</v>
      </c>
      <c r="I74" s="21" t="n">
        <v>6</v>
      </c>
      <c r="J74" s="21" t="n">
        <v>4006.22</v>
      </c>
    </row>
    <row r="75">
      <c r="A75" s="19" t="n">
        <v>46227</v>
      </c>
      <c r="B75" t="inlineStr">
        <is>
          <t>Meta</t>
        </is>
      </c>
      <c r="C75" t="inlineStr">
        <is>
          <t>STATIC | Bundle offer | v2</t>
        </is>
      </c>
      <c r="D75" t="inlineStr">
        <is>
          <t>Prospecting | Broad | EG</t>
        </is>
      </c>
      <c r="E75" t="inlineStr">
        <is>
          <t>Static-Bundle</t>
        </is>
      </c>
      <c r="F75" t="n">
        <v>704.63</v>
      </c>
      <c r="G75" s="20" t="n">
        <v>10690</v>
      </c>
      <c r="H75" s="21" t="n">
        <v>182</v>
      </c>
      <c r="I75" s="21" t="n">
        <v>3</v>
      </c>
      <c r="J75" s="21" t="n">
        <v>2414.04</v>
      </c>
    </row>
    <row r="76">
      <c r="A76" s="19" t="n">
        <v>46227</v>
      </c>
      <c r="B76" t="inlineStr">
        <is>
          <t>Meta</t>
        </is>
      </c>
      <c r="C76" t="inlineStr">
        <is>
          <t>VID | Founder story | v3</t>
        </is>
      </c>
      <c r="D76" t="inlineStr">
        <is>
          <t>Prospecting | Broad | EG</t>
        </is>
      </c>
      <c r="E76" t="inlineStr">
        <is>
          <t>UGC-Founder</t>
        </is>
      </c>
      <c r="F76" t="n">
        <v>465.07</v>
      </c>
      <c r="G76" s="20" t="n">
        <v>7056</v>
      </c>
      <c r="H76" s="21" t="n">
        <v>120</v>
      </c>
      <c r="I76" s="21" t="n">
        <v>2</v>
      </c>
      <c r="J76" s="21" t="n">
        <v>1484.55</v>
      </c>
    </row>
    <row r="77">
      <c r="A77" s="19" t="n">
        <v>46227</v>
      </c>
      <c r="B77" t="inlineStr">
        <is>
          <t>Meta</t>
        </is>
      </c>
      <c r="C77" t="inlineStr">
        <is>
          <t>VID | Review compilation | v1</t>
        </is>
      </c>
      <c r="D77" t="inlineStr">
        <is>
          <t>Prospecting | Interest | EG</t>
        </is>
      </c>
      <c r="E77" t="inlineStr">
        <is>
          <t>UGC-Reviews</t>
        </is>
      </c>
      <c r="F77" t="n">
        <v>467.67</v>
      </c>
      <c r="G77" s="20" t="n">
        <v>7095</v>
      </c>
      <c r="H77" s="21" t="n">
        <v>121</v>
      </c>
      <c r="I77" s="21" t="n">
        <v>2</v>
      </c>
      <c r="J77" s="21" t="n">
        <v>1371.87</v>
      </c>
    </row>
    <row r="78">
      <c r="A78" s="19" t="n">
        <v>46227</v>
      </c>
      <c r="B78" t="inlineStr">
        <is>
          <t>Meta</t>
        </is>
      </c>
      <c r="C78" t="inlineStr">
        <is>
          <t>STATIC | Bundle offer | v1</t>
        </is>
      </c>
      <c r="D78" t="inlineStr">
        <is>
          <t>Test | Broad | EG</t>
        </is>
      </c>
      <c r="E78" t="inlineStr">
        <is>
          <t>Static-Bundle</t>
        </is>
      </c>
      <c r="F78" t="n">
        <v>337.32</v>
      </c>
      <c r="G78" s="20" t="n">
        <v>5118</v>
      </c>
      <c r="H78" s="21" t="n">
        <v>87</v>
      </c>
      <c r="I78" s="21" t="n">
        <v>1</v>
      </c>
      <c r="J78" s="21" t="n">
        <v>744.48</v>
      </c>
    </row>
    <row r="79">
      <c r="A79" s="19" t="n">
        <v>46227</v>
      </c>
      <c r="B79" t="inlineStr">
        <is>
          <t>Meta</t>
        </is>
      </c>
      <c r="C79" t="inlineStr">
        <is>
          <t>STATIC | Discount 20% | v1</t>
        </is>
      </c>
      <c r="D79" t="inlineStr">
        <is>
          <t>Retargeting | 7d IC</t>
        </is>
      </c>
      <c r="E79" t="inlineStr">
        <is>
          <t>Static-Discount</t>
        </is>
      </c>
      <c r="F79" t="n">
        <v>274.2</v>
      </c>
      <c r="G79" s="20" t="n">
        <v>4160</v>
      </c>
      <c r="H79" s="21" t="n">
        <v>71</v>
      </c>
      <c r="I79" s="21" t="n">
        <v>3</v>
      </c>
      <c r="J79" s="21" t="n">
        <v>2004.86</v>
      </c>
    </row>
    <row r="80">
      <c r="A80" s="19" t="n">
        <v>46227</v>
      </c>
      <c r="B80" t="inlineStr">
        <is>
          <t>Meta</t>
        </is>
      </c>
      <c r="C80" t="inlineStr">
        <is>
          <t>CAROUSEL | Best sellers</t>
        </is>
      </c>
      <c r="D80" t="inlineStr">
        <is>
          <t>Retargeting | 14d ATC</t>
        </is>
      </c>
      <c r="E80" t="inlineStr">
        <is>
          <t>Carousel-Bestsellers</t>
        </is>
      </c>
      <c r="F80" t="n">
        <v>226.89</v>
      </c>
      <c r="G80" s="20" t="n">
        <v>3442</v>
      </c>
      <c r="H80" s="21" t="n">
        <v>59</v>
      </c>
      <c r="I80" s="21" t="n">
        <v>2</v>
      </c>
      <c r="J80" s="21" t="n">
        <v>1484.51</v>
      </c>
    </row>
    <row r="81">
      <c r="A81" s="19" t="n">
        <v>46227</v>
      </c>
      <c r="B81" t="inlineStr">
        <is>
          <t>Meta</t>
        </is>
      </c>
      <c r="C81" t="inlineStr">
        <is>
          <t>VID | Founder story | v1</t>
        </is>
      </c>
      <c r="D81" t="inlineStr">
        <is>
          <t>Prospecting | Broad | EG</t>
        </is>
      </c>
      <c r="E81" t="inlineStr">
        <is>
          <t>UGC-Founder</t>
        </is>
      </c>
      <c r="F81" t="n">
        <v>148.43</v>
      </c>
      <c r="G81" s="20" t="n">
        <v>2252</v>
      </c>
      <c r="H81" s="21" t="n">
        <v>38</v>
      </c>
      <c r="I81" s="21" t="n">
        <v>1</v>
      </c>
      <c r="J81" s="21" t="n">
        <v>808.74</v>
      </c>
    </row>
    <row r="82">
      <c r="A82" s="19" t="n">
        <v>46228</v>
      </c>
      <c r="B82" t="inlineStr">
        <is>
          <t>Meta</t>
        </is>
      </c>
      <c r="C82" t="inlineStr">
        <is>
          <t>VID | Founder story | v4</t>
        </is>
      </c>
      <c r="D82" t="inlineStr">
        <is>
          <t>Prospecting | Broad | EG</t>
        </is>
      </c>
      <c r="E82" t="inlineStr">
        <is>
          <t>UGC-Founder</t>
        </is>
      </c>
      <c r="F82" t="n">
        <v>1085.92</v>
      </c>
      <c r="G82" s="20" t="n">
        <v>16194</v>
      </c>
      <c r="H82" s="21" t="n">
        <v>276</v>
      </c>
      <c r="I82" s="21" t="n">
        <v>6</v>
      </c>
      <c r="J82" s="21" t="n">
        <v>4097.7</v>
      </c>
    </row>
    <row r="83">
      <c r="A83" s="19" t="n">
        <v>46228</v>
      </c>
      <c r="B83" t="inlineStr">
        <is>
          <t>Meta</t>
        </is>
      </c>
      <c r="C83" t="inlineStr">
        <is>
          <t>STATIC | Bundle offer | v2</t>
        </is>
      </c>
      <c r="D83" t="inlineStr">
        <is>
          <t>Prospecting | Broad | EG</t>
        </is>
      </c>
      <c r="E83" t="inlineStr">
        <is>
          <t>Static-Bundle</t>
        </is>
      </c>
      <c r="F83" t="n">
        <v>691.21</v>
      </c>
      <c r="G83" s="20" t="n">
        <v>10308</v>
      </c>
      <c r="H83" s="21" t="n">
        <v>176</v>
      </c>
      <c r="I83" s="21" t="n">
        <v>3</v>
      </c>
      <c r="J83" s="21" t="n">
        <v>2003.62</v>
      </c>
    </row>
    <row r="84">
      <c r="A84" s="19" t="n">
        <v>46228</v>
      </c>
      <c r="B84" t="inlineStr">
        <is>
          <t>Meta</t>
        </is>
      </c>
      <c r="C84" t="inlineStr">
        <is>
          <t>VID | Founder story | v3</t>
        </is>
      </c>
      <c r="D84" t="inlineStr">
        <is>
          <t>Prospecting | Broad | EG</t>
        </is>
      </c>
      <c r="E84" t="inlineStr">
        <is>
          <t>UGC-Founder</t>
        </is>
      </c>
      <c r="F84" t="n">
        <v>454.51</v>
      </c>
      <c r="G84" s="20" t="n">
        <v>6778</v>
      </c>
      <c r="H84" s="21" t="n">
        <v>115</v>
      </c>
      <c r="I84" s="21" t="n">
        <v>2</v>
      </c>
      <c r="J84" s="21" t="n">
        <v>1502.17</v>
      </c>
    </row>
    <row r="85">
      <c r="A85" s="19" t="n">
        <v>46228</v>
      </c>
      <c r="B85" t="inlineStr">
        <is>
          <t>Meta</t>
        </is>
      </c>
      <c r="C85" t="inlineStr">
        <is>
          <t>VID | Review compilation | v1</t>
        </is>
      </c>
      <c r="D85" t="inlineStr">
        <is>
          <t>Prospecting | Interest | EG</t>
        </is>
      </c>
      <c r="E85" t="inlineStr">
        <is>
          <t>UGC-Reviews</t>
        </is>
      </c>
      <c r="F85" t="n">
        <v>470.01</v>
      </c>
      <c r="G85" s="20" t="n">
        <v>7009</v>
      </c>
      <c r="H85" s="21" t="n">
        <v>119</v>
      </c>
      <c r="I85" s="21" t="n">
        <v>2</v>
      </c>
      <c r="J85" s="21" t="n">
        <v>1551.22</v>
      </c>
    </row>
    <row r="86">
      <c r="A86" s="19" t="n">
        <v>46228</v>
      </c>
      <c r="B86" t="inlineStr">
        <is>
          <t>Meta</t>
        </is>
      </c>
      <c r="C86" t="inlineStr">
        <is>
          <t>STATIC | Bundle offer | v1</t>
        </is>
      </c>
      <c r="D86" t="inlineStr">
        <is>
          <t>Test | Broad | EG</t>
        </is>
      </c>
      <c r="E86" t="inlineStr">
        <is>
          <t>Static-Bundle</t>
        </is>
      </c>
      <c r="F86" t="n">
        <v>293.79</v>
      </c>
      <c r="G86" s="20" t="n">
        <v>4381</v>
      </c>
      <c r="H86" s="21" t="n">
        <v>75</v>
      </c>
      <c r="I86" s="21" t="n">
        <v>1</v>
      </c>
      <c r="J86" s="21" t="n">
        <v>756.9</v>
      </c>
    </row>
    <row r="87">
      <c r="A87" s="19" t="n">
        <v>46228</v>
      </c>
      <c r="B87" t="inlineStr">
        <is>
          <t>Meta</t>
        </is>
      </c>
      <c r="C87" t="inlineStr">
        <is>
          <t>STATIC | Discount 20% | v1</t>
        </is>
      </c>
      <c r="D87" t="inlineStr">
        <is>
          <t>Retargeting | 7d IC</t>
        </is>
      </c>
      <c r="E87" t="inlineStr">
        <is>
          <t>Static-Discount</t>
        </is>
      </c>
      <c r="F87" t="n">
        <v>294.19</v>
      </c>
      <c r="G87" s="20" t="n">
        <v>4387</v>
      </c>
      <c r="H87" s="21" t="n">
        <v>75</v>
      </c>
      <c r="I87" s="21" t="n">
        <v>3</v>
      </c>
      <c r="J87" s="21" t="n">
        <v>2250.96</v>
      </c>
    </row>
    <row r="88">
      <c r="A88" s="19" t="n">
        <v>46228</v>
      </c>
      <c r="B88" t="inlineStr">
        <is>
          <t>Meta</t>
        </is>
      </c>
      <c r="C88" t="inlineStr">
        <is>
          <t>CAROUSEL | Best sellers</t>
        </is>
      </c>
      <c r="D88" t="inlineStr">
        <is>
          <t>Retargeting | 14d ATC</t>
        </is>
      </c>
      <c r="E88" t="inlineStr">
        <is>
          <t>Carousel-Bestsellers</t>
        </is>
      </c>
      <c r="F88" t="n">
        <v>192.26</v>
      </c>
      <c r="G88" s="20" t="n">
        <v>2867</v>
      </c>
      <c r="H88" s="21" t="n">
        <v>49</v>
      </c>
      <c r="I88" s="21" t="n">
        <v>2</v>
      </c>
      <c r="J88" s="21" t="n">
        <v>1504.1</v>
      </c>
    </row>
    <row r="89">
      <c r="A89" s="19" t="n">
        <v>46228</v>
      </c>
      <c r="B89" t="inlineStr">
        <is>
          <t>Meta</t>
        </is>
      </c>
      <c r="C89" t="inlineStr">
        <is>
          <t>VID | Founder story | v1</t>
        </is>
      </c>
      <c r="D89" t="inlineStr">
        <is>
          <t>Prospecting | Broad | EG</t>
        </is>
      </c>
      <c r="E89" t="inlineStr">
        <is>
          <t>UGC-Founder</t>
        </is>
      </c>
      <c r="F89" t="n">
        <v>165.07</v>
      </c>
      <c r="G89" s="20" t="n">
        <v>2462</v>
      </c>
      <c r="H89" s="21" t="n">
        <v>42</v>
      </c>
      <c r="I89" s="21" t="n">
        <v>0</v>
      </c>
      <c r="J89" s="21" t="n">
        <v>0</v>
      </c>
    </row>
    <row r="90">
      <c r="A90" s="19" t="n">
        <v>46229</v>
      </c>
      <c r="B90" t="inlineStr">
        <is>
          <t>Meta</t>
        </is>
      </c>
      <c r="C90" t="inlineStr">
        <is>
          <t>VID | Founder story | v4</t>
        </is>
      </c>
      <c r="D90" t="inlineStr">
        <is>
          <t>Prospecting | Broad | EG</t>
        </is>
      </c>
      <c r="E90" t="inlineStr">
        <is>
          <t>UGC-Founder</t>
        </is>
      </c>
      <c r="F90" t="n">
        <v>938.35</v>
      </c>
      <c r="G90" s="20" t="n">
        <v>14861</v>
      </c>
      <c r="H90" s="21" t="n">
        <v>215</v>
      </c>
      <c r="I90" s="21" t="n">
        <v>5</v>
      </c>
      <c r="J90" s="21" t="n">
        <v>3724.48</v>
      </c>
    </row>
    <row r="91">
      <c r="A91" s="19" t="n">
        <v>46229</v>
      </c>
      <c r="B91" t="inlineStr">
        <is>
          <t>Meta</t>
        </is>
      </c>
      <c r="C91" t="inlineStr">
        <is>
          <t>STATIC | Bundle offer | v2</t>
        </is>
      </c>
      <c r="D91" t="inlineStr">
        <is>
          <t>Prospecting | Broad | EG</t>
        </is>
      </c>
      <c r="E91" t="inlineStr">
        <is>
          <t>Static-Bundle</t>
        </is>
      </c>
      <c r="F91" t="n">
        <v>685.04</v>
      </c>
      <c r="G91" s="20" t="n">
        <v>10849</v>
      </c>
      <c r="H91" s="21" t="n">
        <v>157</v>
      </c>
      <c r="I91" s="21" t="n">
        <v>3</v>
      </c>
      <c r="J91" s="21" t="n">
        <v>2026.11</v>
      </c>
    </row>
    <row r="92">
      <c r="A92" s="19" t="n">
        <v>46229</v>
      </c>
      <c r="B92" t="inlineStr">
        <is>
          <t>Meta</t>
        </is>
      </c>
      <c r="C92" t="inlineStr">
        <is>
          <t>VID | Founder story | v3</t>
        </is>
      </c>
      <c r="D92" t="inlineStr">
        <is>
          <t>Prospecting | Broad | EG</t>
        </is>
      </c>
      <c r="E92" t="inlineStr">
        <is>
          <t>UGC-Founder</t>
        </is>
      </c>
      <c r="F92" t="n">
        <v>488.93</v>
      </c>
      <c r="G92" s="20" t="n">
        <v>7744</v>
      </c>
      <c r="H92" s="21" t="n">
        <v>112</v>
      </c>
      <c r="I92" s="21" t="n">
        <v>2</v>
      </c>
      <c r="J92" s="21" t="n">
        <v>1484.47</v>
      </c>
    </row>
    <row r="93">
      <c r="A93" s="19" t="n">
        <v>46229</v>
      </c>
      <c r="B93" t="inlineStr">
        <is>
          <t>Meta</t>
        </is>
      </c>
      <c r="C93" t="inlineStr">
        <is>
          <t>VID | Review compilation | v1</t>
        </is>
      </c>
      <c r="D93" t="inlineStr">
        <is>
          <t>Prospecting | Interest | EG</t>
        </is>
      </c>
      <c r="E93" t="inlineStr">
        <is>
          <t>UGC-Reviews</t>
        </is>
      </c>
      <c r="F93" t="n">
        <v>438.86</v>
      </c>
      <c r="G93" s="20" t="n">
        <v>6950</v>
      </c>
      <c r="H93" s="21" t="n">
        <v>100</v>
      </c>
      <c r="I93" s="21" t="n">
        <v>2</v>
      </c>
      <c r="J93" s="21" t="n">
        <v>1498.4</v>
      </c>
    </row>
    <row r="94">
      <c r="A94" s="19" t="n">
        <v>46229</v>
      </c>
      <c r="B94" t="inlineStr">
        <is>
          <t>Meta</t>
        </is>
      </c>
      <c r="C94" t="inlineStr">
        <is>
          <t>STATIC | Bundle offer | v1</t>
        </is>
      </c>
      <c r="D94" t="inlineStr">
        <is>
          <t>Test | Broad | EG</t>
        </is>
      </c>
      <c r="E94" t="inlineStr">
        <is>
          <t>Static-Bundle</t>
        </is>
      </c>
      <c r="F94" t="n">
        <v>292.46</v>
      </c>
      <c r="G94" s="20" t="n">
        <v>4632</v>
      </c>
      <c r="H94" s="21" t="n">
        <v>67</v>
      </c>
      <c r="I94" s="21" t="n">
        <v>1</v>
      </c>
      <c r="J94" s="21" t="n">
        <v>744.6900000000001</v>
      </c>
    </row>
    <row r="95">
      <c r="A95" s="19" t="n">
        <v>46229</v>
      </c>
      <c r="B95" t="inlineStr">
        <is>
          <t>Meta</t>
        </is>
      </c>
      <c r="C95" t="inlineStr">
        <is>
          <t>STATIC | Discount 20% | v1</t>
        </is>
      </c>
      <c r="D95" t="inlineStr">
        <is>
          <t>Retargeting | 7d IC</t>
        </is>
      </c>
      <c r="E95" t="inlineStr">
        <is>
          <t>Static-Discount</t>
        </is>
      </c>
      <c r="F95" t="n">
        <v>265.14</v>
      </c>
      <c r="G95" s="20" t="n">
        <v>4199</v>
      </c>
      <c r="H95" s="21" t="n">
        <v>61</v>
      </c>
      <c r="I95" s="21" t="n">
        <v>2</v>
      </c>
      <c r="J95" s="21" t="n">
        <v>1328.19</v>
      </c>
    </row>
    <row r="96">
      <c r="A96" s="19" t="n">
        <v>46229</v>
      </c>
      <c r="B96" t="inlineStr">
        <is>
          <t>Meta</t>
        </is>
      </c>
      <c r="C96" t="inlineStr">
        <is>
          <t>CAROUSEL | Best sellers</t>
        </is>
      </c>
      <c r="D96" t="inlineStr">
        <is>
          <t>Retargeting | 14d ATC</t>
        </is>
      </c>
      <c r="E96" t="inlineStr">
        <is>
          <t>Carousel-Bestsellers</t>
        </is>
      </c>
      <c r="F96" t="n">
        <v>184.39</v>
      </c>
      <c r="G96" s="20" t="n">
        <v>2920</v>
      </c>
      <c r="H96" s="21" t="n">
        <v>42</v>
      </c>
      <c r="I96" s="21" t="n">
        <v>1</v>
      </c>
      <c r="J96" s="21" t="n">
        <v>644.41</v>
      </c>
    </row>
    <row r="97">
      <c r="A97" s="19" t="n">
        <v>46229</v>
      </c>
      <c r="B97" t="inlineStr">
        <is>
          <t>Meta</t>
        </is>
      </c>
      <c r="C97" t="inlineStr">
        <is>
          <t>VID | Founder story | v1</t>
        </is>
      </c>
      <c r="D97" t="inlineStr">
        <is>
          <t>Prospecting | Broad | EG</t>
        </is>
      </c>
      <c r="E97" t="inlineStr">
        <is>
          <t>UGC-Founder</t>
        </is>
      </c>
      <c r="F97" t="n">
        <v>168.18</v>
      </c>
      <c r="G97" s="20" t="n">
        <v>2664</v>
      </c>
      <c r="H97" s="21" t="n">
        <v>38</v>
      </c>
      <c r="I97" s="21" t="n">
        <v>0</v>
      </c>
      <c r="J97" s="21" t="n">
        <v>0</v>
      </c>
    </row>
    <row r="98">
      <c r="A98" s="19" t="n">
        <v>46230</v>
      </c>
      <c r="B98" t="inlineStr">
        <is>
          <t>Meta</t>
        </is>
      </c>
      <c r="C98" t="inlineStr">
        <is>
          <t>VID | Founder story | v4</t>
        </is>
      </c>
      <c r="D98" t="inlineStr">
        <is>
          <t>Prospecting | Broad | EG</t>
        </is>
      </c>
      <c r="E98" t="inlineStr">
        <is>
          <t>UGC-Founder</t>
        </is>
      </c>
      <c r="F98" t="n">
        <v>838.61</v>
      </c>
      <c r="G98" s="20" t="n">
        <v>12751</v>
      </c>
      <c r="H98" s="21" t="n">
        <v>209</v>
      </c>
      <c r="I98" s="21" t="n">
        <v>5</v>
      </c>
      <c r="J98" s="21" t="n">
        <v>3129.83</v>
      </c>
    </row>
    <row r="99">
      <c r="A99" s="19" t="n">
        <v>46230</v>
      </c>
      <c r="B99" t="inlineStr">
        <is>
          <t>Meta</t>
        </is>
      </c>
      <c r="C99" t="inlineStr">
        <is>
          <t>STATIC | Bundle offer | v2</t>
        </is>
      </c>
      <c r="D99" t="inlineStr">
        <is>
          <t>Prospecting | Broad | EG</t>
        </is>
      </c>
      <c r="E99" t="inlineStr">
        <is>
          <t>Static-Bundle</t>
        </is>
      </c>
      <c r="F99" t="n">
        <v>560.49</v>
      </c>
      <c r="G99" s="20" t="n">
        <v>8522</v>
      </c>
      <c r="H99" s="21" t="n">
        <v>140</v>
      </c>
      <c r="I99" s="21" t="n">
        <v>3</v>
      </c>
      <c r="J99" s="21" t="n">
        <v>2113.74</v>
      </c>
    </row>
    <row r="100">
      <c r="A100" s="19" t="n">
        <v>46230</v>
      </c>
      <c r="B100" t="inlineStr">
        <is>
          <t>Meta</t>
        </is>
      </c>
      <c r="C100" t="inlineStr">
        <is>
          <t>VID | Founder story | v3</t>
        </is>
      </c>
      <c r="D100" t="inlineStr">
        <is>
          <t>Prospecting | Broad | EG</t>
        </is>
      </c>
      <c r="E100" t="inlineStr">
        <is>
          <t>UGC-Founder</t>
        </is>
      </c>
      <c r="F100" t="n">
        <v>478.45</v>
      </c>
      <c r="G100" s="20" t="n">
        <v>7275</v>
      </c>
      <c r="H100" s="21" t="n">
        <v>119</v>
      </c>
      <c r="I100" s="21" t="n">
        <v>2</v>
      </c>
      <c r="J100" s="21" t="n">
        <v>1477.21</v>
      </c>
    </row>
    <row r="101">
      <c r="A101" s="19" t="n">
        <v>46230</v>
      </c>
      <c r="B101" t="inlineStr">
        <is>
          <t>Meta</t>
        </is>
      </c>
      <c r="C101" t="inlineStr">
        <is>
          <t>VID | Review compilation | v1</t>
        </is>
      </c>
      <c r="D101" t="inlineStr">
        <is>
          <t>Prospecting | Interest | EG</t>
        </is>
      </c>
      <c r="E101" t="inlineStr">
        <is>
          <t>UGC-Reviews</t>
        </is>
      </c>
      <c r="F101" t="n">
        <v>516.67</v>
      </c>
      <c r="G101" s="20" t="n">
        <v>7856</v>
      </c>
      <c r="H101" s="21" t="n">
        <v>129</v>
      </c>
      <c r="I101" s="21" t="n">
        <v>2</v>
      </c>
      <c r="J101" s="21" t="n">
        <v>1442.4</v>
      </c>
    </row>
    <row r="102">
      <c r="A102" s="19" t="n">
        <v>46230</v>
      </c>
      <c r="B102" t="inlineStr">
        <is>
          <t>Meta</t>
        </is>
      </c>
      <c r="C102" t="inlineStr">
        <is>
          <t>STATIC | Bundle offer | v1</t>
        </is>
      </c>
      <c r="D102" t="inlineStr">
        <is>
          <t>Test | Broad | EG</t>
        </is>
      </c>
      <c r="E102" t="inlineStr">
        <is>
          <t>Static-Bundle</t>
        </is>
      </c>
      <c r="F102" t="n">
        <v>338.93</v>
      </c>
      <c r="G102" s="20" t="n">
        <v>5153</v>
      </c>
      <c r="H102" s="21" t="n">
        <v>85</v>
      </c>
      <c r="I102" s="21" t="n">
        <v>1</v>
      </c>
      <c r="J102" s="21" t="n">
        <v>716.8099999999999</v>
      </c>
    </row>
    <row r="103">
      <c r="A103" s="19" t="n">
        <v>46230</v>
      </c>
      <c r="B103" t="inlineStr">
        <is>
          <t>Meta</t>
        </is>
      </c>
      <c r="C103" t="inlineStr">
        <is>
          <t>STATIC | Discount 20% | v1</t>
        </is>
      </c>
      <c r="D103" t="inlineStr">
        <is>
          <t>Retargeting | 7d IC</t>
        </is>
      </c>
      <c r="E103" t="inlineStr">
        <is>
          <t>Static-Discount</t>
        </is>
      </c>
      <c r="F103" t="n">
        <v>254.69</v>
      </c>
      <c r="G103" s="20" t="n">
        <v>3873</v>
      </c>
      <c r="H103" s="21" t="n">
        <v>64</v>
      </c>
      <c r="I103" s="21" t="n">
        <v>2</v>
      </c>
      <c r="J103" s="21" t="n">
        <v>1359.31</v>
      </c>
    </row>
    <row r="104">
      <c r="A104" s="19" t="n">
        <v>46230</v>
      </c>
      <c r="B104" t="inlineStr">
        <is>
          <t>Meta</t>
        </is>
      </c>
      <c r="C104" t="inlineStr">
        <is>
          <t>CAROUSEL | Best sellers</t>
        </is>
      </c>
      <c r="D104" t="inlineStr">
        <is>
          <t>Retargeting | 14d ATC</t>
        </is>
      </c>
      <c r="E104" t="inlineStr">
        <is>
          <t>Carousel-Bestsellers</t>
        </is>
      </c>
      <c r="F104" t="n">
        <v>187.62</v>
      </c>
      <c r="G104" s="20" t="n">
        <v>2853</v>
      </c>
      <c r="H104" s="21" t="n">
        <v>47</v>
      </c>
      <c r="I104" s="21" t="n">
        <v>2</v>
      </c>
      <c r="J104" s="21" t="n">
        <v>1277.53</v>
      </c>
    </row>
    <row r="105">
      <c r="A105" s="19" t="n">
        <v>46230</v>
      </c>
      <c r="B105" t="inlineStr">
        <is>
          <t>Meta</t>
        </is>
      </c>
      <c r="C105" t="inlineStr">
        <is>
          <t>VID | Founder story | v1</t>
        </is>
      </c>
      <c r="D105" t="inlineStr">
        <is>
          <t>Prospecting | Broad | EG</t>
        </is>
      </c>
      <c r="E105" t="inlineStr">
        <is>
          <t>UGC-Founder</t>
        </is>
      </c>
      <c r="F105" t="n">
        <v>156.41</v>
      </c>
      <c r="G105" s="20" t="n">
        <v>2378</v>
      </c>
      <c r="H105" s="21" t="n">
        <v>39</v>
      </c>
      <c r="I105" s="21" t="n">
        <v>0</v>
      </c>
      <c r="J105" s="21" t="n">
        <v>0</v>
      </c>
    </row>
    <row r="106">
      <c r="A106" s="19" t="n">
        <v>46231</v>
      </c>
      <c r="B106" t="inlineStr">
        <is>
          <t>Meta</t>
        </is>
      </c>
      <c r="C106" t="inlineStr">
        <is>
          <t>VID | Founder story | v4</t>
        </is>
      </c>
      <c r="D106" t="inlineStr">
        <is>
          <t>Prospecting | Broad | EG</t>
        </is>
      </c>
      <c r="E106" t="inlineStr">
        <is>
          <t>UGC-Founder</t>
        </is>
      </c>
      <c r="F106" t="n">
        <v>761.1</v>
      </c>
      <c r="G106" s="20" t="n">
        <v>11797</v>
      </c>
      <c r="H106" s="21" t="n">
        <v>169</v>
      </c>
      <c r="I106" s="21" t="n">
        <v>5</v>
      </c>
      <c r="J106" s="21" t="n">
        <v>3123.56</v>
      </c>
    </row>
    <row r="107">
      <c r="A107" s="19" t="n">
        <v>46231</v>
      </c>
      <c r="B107" t="inlineStr">
        <is>
          <t>Meta</t>
        </is>
      </c>
      <c r="C107" t="inlineStr">
        <is>
          <t>STATIC | Bundle offer | v2</t>
        </is>
      </c>
      <c r="D107" t="inlineStr">
        <is>
          <t>Prospecting | Broad | EG</t>
        </is>
      </c>
      <c r="E107" t="inlineStr">
        <is>
          <t>Static-Bundle</t>
        </is>
      </c>
      <c r="F107" t="n">
        <v>582.46</v>
      </c>
      <c r="G107" s="20" t="n">
        <v>9028</v>
      </c>
      <c r="H107" s="21" t="n">
        <v>130</v>
      </c>
      <c r="I107" s="21" t="n">
        <v>3</v>
      </c>
      <c r="J107" s="21" t="n">
        <v>1883.9</v>
      </c>
    </row>
    <row r="108">
      <c r="A108" s="19" t="n">
        <v>46231</v>
      </c>
      <c r="B108" t="inlineStr">
        <is>
          <t>Meta</t>
        </is>
      </c>
      <c r="C108" t="inlineStr">
        <is>
          <t>VID | Founder story | v3</t>
        </is>
      </c>
      <c r="D108" t="inlineStr">
        <is>
          <t>Prospecting | Broad | EG</t>
        </is>
      </c>
      <c r="E108" t="inlineStr">
        <is>
          <t>UGC-Founder</t>
        </is>
      </c>
      <c r="F108" t="n">
        <v>457.38</v>
      </c>
      <c r="G108" s="20" t="n">
        <v>7089</v>
      </c>
      <c r="H108" s="21" t="n">
        <v>102</v>
      </c>
      <c r="I108" s="21" t="n">
        <v>2</v>
      </c>
      <c r="J108" s="21" t="n">
        <v>1459.45</v>
      </c>
    </row>
    <row r="109">
      <c r="A109" s="19" t="n">
        <v>46231</v>
      </c>
      <c r="B109" t="inlineStr">
        <is>
          <t>Meta</t>
        </is>
      </c>
      <c r="C109" t="inlineStr">
        <is>
          <t>VID | Review compilation | v1</t>
        </is>
      </c>
      <c r="D109" t="inlineStr">
        <is>
          <t>Prospecting | Interest | EG</t>
        </is>
      </c>
      <c r="E109" t="inlineStr">
        <is>
          <t>UGC-Reviews</t>
        </is>
      </c>
      <c r="F109" t="n">
        <v>388.16</v>
      </c>
      <c r="G109" s="20" t="n">
        <v>6016</v>
      </c>
      <c r="H109" s="21" t="n">
        <v>86</v>
      </c>
      <c r="I109" s="21" t="n">
        <v>2</v>
      </c>
      <c r="J109" s="21" t="n">
        <v>1432.9</v>
      </c>
    </row>
    <row r="110">
      <c r="A110" s="19" t="n">
        <v>46231</v>
      </c>
      <c r="B110" t="inlineStr">
        <is>
          <t>Meta</t>
        </is>
      </c>
      <c r="C110" t="inlineStr">
        <is>
          <t>STATIC | Bundle offer | v1</t>
        </is>
      </c>
      <c r="D110" t="inlineStr">
        <is>
          <t>Test | Broad | EG</t>
        </is>
      </c>
      <c r="E110" t="inlineStr">
        <is>
          <t>Static-Bundle</t>
        </is>
      </c>
      <c r="F110" t="n">
        <v>259.22</v>
      </c>
      <c r="G110" s="20" t="n">
        <v>4018</v>
      </c>
      <c r="H110" s="21" t="n">
        <v>58</v>
      </c>
      <c r="I110" s="21" t="n">
        <v>1</v>
      </c>
      <c r="J110" s="21" t="n">
        <v>627.3</v>
      </c>
    </row>
    <row r="111">
      <c r="A111" s="19" t="n">
        <v>46231</v>
      </c>
      <c r="B111" t="inlineStr">
        <is>
          <t>Meta</t>
        </is>
      </c>
      <c r="C111" t="inlineStr">
        <is>
          <t>STATIC | Discount 20% | v1</t>
        </is>
      </c>
      <c r="D111" t="inlineStr">
        <is>
          <t>Retargeting | 7d IC</t>
        </is>
      </c>
      <c r="E111" t="inlineStr">
        <is>
          <t>Static-Discount</t>
        </is>
      </c>
      <c r="F111" t="n">
        <v>252.44</v>
      </c>
      <c r="G111" s="20" t="n">
        <v>3913</v>
      </c>
      <c r="H111" s="21" t="n">
        <v>56</v>
      </c>
      <c r="I111" s="21" t="n">
        <v>3</v>
      </c>
      <c r="J111" s="21" t="n">
        <v>2157.45</v>
      </c>
    </row>
    <row r="112">
      <c r="A112" s="19" t="n">
        <v>46231</v>
      </c>
      <c r="B112" t="inlineStr">
        <is>
          <t>Meta</t>
        </is>
      </c>
      <c r="C112" t="inlineStr">
        <is>
          <t>CAROUSEL | Best sellers</t>
        </is>
      </c>
      <c r="D112" t="inlineStr">
        <is>
          <t>Retargeting | 14d ATC</t>
        </is>
      </c>
      <c r="E112" t="inlineStr">
        <is>
          <t>Carousel-Bestsellers</t>
        </is>
      </c>
      <c r="F112" t="n">
        <v>166.33</v>
      </c>
      <c r="G112" s="20" t="n">
        <v>2578</v>
      </c>
      <c r="H112" s="21" t="n">
        <v>37</v>
      </c>
      <c r="I112" s="21" t="n">
        <v>2</v>
      </c>
      <c r="J112" s="21" t="n">
        <v>1479.83</v>
      </c>
    </row>
    <row r="113">
      <c r="A113" s="19" t="n">
        <v>46231</v>
      </c>
      <c r="B113" t="inlineStr">
        <is>
          <t>Meta</t>
        </is>
      </c>
      <c r="C113" t="inlineStr">
        <is>
          <t>VID | Founder story | v1</t>
        </is>
      </c>
      <c r="D113" t="inlineStr">
        <is>
          <t>Prospecting | Broad | EG</t>
        </is>
      </c>
      <c r="E113" t="inlineStr">
        <is>
          <t>UGC-Founder</t>
        </is>
      </c>
      <c r="F113" t="n">
        <v>112.32</v>
      </c>
      <c r="G113" s="20" t="n">
        <v>1741</v>
      </c>
      <c r="H113" s="21" t="n">
        <v>25</v>
      </c>
      <c r="I113" s="21" t="n">
        <v>0</v>
      </c>
      <c r="J113" s="21" t="n">
        <v>0</v>
      </c>
    </row>
    <row r="114">
      <c r="A114" s="19" t="n">
        <v>46232</v>
      </c>
      <c r="B114" t="inlineStr">
        <is>
          <t>Meta</t>
        </is>
      </c>
      <c r="C114" t="inlineStr">
        <is>
          <t>VID | Founder story | v4</t>
        </is>
      </c>
      <c r="D114" t="inlineStr">
        <is>
          <t>Prospecting | Broad | EG</t>
        </is>
      </c>
      <c r="E114" t="inlineStr">
        <is>
          <t>UGC-Founder</t>
        </is>
      </c>
      <c r="F114" t="n">
        <v>842.74</v>
      </c>
      <c r="G114" s="20" t="n">
        <v>12854</v>
      </c>
      <c r="H114" s="21" t="n">
        <v>217</v>
      </c>
      <c r="I114" s="21" t="n">
        <v>5</v>
      </c>
      <c r="J114" s="21" t="n">
        <v>3446.91</v>
      </c>
    </row>
    <row r="115">
      <c r="A115" s="19" t="n">
        <v>46232</v>
      </c>
      <c r="B115" t="inlineStr">
        <is>
          <t>Meta</t>
        </is>
      </c>
      <c r="C115" t="inlineStr">
        <is>
          <t>STATIC | Bundle offer | v2</t>
        </is>
      </c>
      <c r="D115" t="inlineStr">
        <is>
          <t>Prospecting | Broad | EG</t>
        </is>
      </c>
      <c r="E115" t="inlineStr">
        <is>
          <t>Static-Bundle</t>
        </is>
      </c>
      <c r="F115" t="n">
        <v>596.8099999999999</v>
      </c>
      <c r="G115" s="20" t="n">
        <v>9103</v>
      </c>
      <c r="H115" s="21" t="n">
        <v>154</v>
      </c>
      <c r="I115" s="21" t="n">
        <v>2</v>
      </c>
      <c r="J115" s="21" t="n">
        <v>1501.15</v>
      </c>
    </row>
    <row r="116">
      <c r="A116" s="19" t="n">
        <v>46232</v>
      </c>
      <c r="B116" t="inlineStr">
        <is>
          <t>Meta</t>
        </is>
      </c>
      <c r="C116" t="inlineStr">
        <is>
          <t>VID | Founder story | v3</t>
        </is>
      </c>
      <c r="D116" t="inlineStr">
        <is>
          <t>Prospecting | Broad | EG</t>
        </is>
      </c>
      <c r="E116" t="inlineStr">
        <is>
          <t>UGC-Founder</t>
        </is>
      </c>
      <c r="F116" t="n">
        <v>392.33</v>
      </c>
      <c r="G116" s="20" t="n">
        <v>5984</v>
      </c>
      <c r="H116" s="21" t="n">
        <v>101</v>
      </c>
      <c r="I116" s="21" t="n">
        <v>2</v>
      </c>
      <c r="J116" s="21" t="n">
        <v>1488.41</v>
      </c>
    </row>
    <row r="117">
      <c r="A117" s="19" t="n">
        <v>46232</v>
      </c>
      <c r="B117" t="inlineStr">
        <is>
          <t>Meta</t>
        </is>
      </c>
      <c r="C117" t="inlineStr">
        <is>
          <t>VID | Review compilation | v1</t>
        </is>
      </c>
      <c r="D117" t="inlineStr">
        <is>
          <t>Prospecting | Interest | EG</t>
        </is>
      </c>
      <c r="E117" t="inlineStr">
        <is>
          <t>UGC-Reviews</t>
        </is>
      </c>
      <c r="F117" t="n">
        <v>376.88</v>
      </c>
      <c r="G117" s="20" t="n">
        <v>5749</v>
      </c>
      <c r="H117" s="21" t="n">
        <v>97</v>
      </c>
      <c r="I117" s="21" t="n">
        <v>2</v>
      </c>
      <c r="J117" s="21" t="n">
        <v>1316.51</v>
      </c>
    </row>
    <row r="118">
      <c r="A118" s="19" t="n">
        <v>46232</v>
      </c>
      <c r="B118" t="inlineStr">
        <is>
          <t>Meta</t>
        </is>
      </c>
      <c r="C118" t="inlineStr">
        <is>
          <t>STATIC | Bundle offer | v1</t>
        </is>
      </c>
      <c r="D118" t="inlineStr">
        <is>
          <t>Test | Broad | EG</t>
        </is>
      </c>
      <c r="E118" t="inlineStr">
        <is>
          <t>Static-Bundle</t>
        </is>
      </c>
      <c r="F118" t="n">
        <v>335.66</v>
      </c>
      <c r="G118" s="20" t="n">
        <v>5120</v>
      </c>
      <c r="H118" s="21" t="n">
        <v>86</v>
      </c>
      <c r="I118" s="21" t="n">
        <v>1</v>
      </c>
      <c r="J118" s="21" t="n">
        <v>663.96</v>
      </c>
    </row>
    <row r="119">
      <c r="A119" s="19" t="n">
        <v>46232</v>
      </c>
      <c r="B119" t="inlineStr">
        <is>
          <t>Meta</t>
        </is>
      </c>
      <c r="C119" t="inlineStr">
        <is>
          <t>STATIC | Discount 20% | v1</t>
        </is>
      </c>
      <c r="D119" t="inlineStr">
        <is>
          <t>Retargeting | 7d IC</t>
        </is>
      </c>
      <c r="E119" t="inlineStr">
        <is>
          <t>Static-Discount</t>
        </is>
      </c>
      <c r="F119" t="n">
        <v>256.1</v>
      </c>
      <c r="G119" s="20" t="n">
        <v>3906</v>
      </c>
      <c r="H119" s="21" t="n">
        <v>66</v>
      </c>
      <c r="I119" s="21" t="n">
        <v>2</v>
      </c>
      <c r="J119" s="21" t="n">
        <v>1339.41</v>
      </c>
    </row>
    <row r="120">
      <c r="A120" s="19" t="n">
        <v>46232</v>
      </c>
      <c r="B120" t="inlineStr">
        <is>
          <t>Meta</t>
        </is>
      </c>
      <c r="C120" t="inlineStr">
        <is>
          <t>CAROUSEL | Best sellers</t>
        </is>
      </c>
      <c r="D120" t="inlineStr">
        <is>
          <t>Retargeting | 14d ATC</t>
        </is>
      </c>
      <c r="E120" t="inlineStr">
        <is>
          <t>Carousel-Bestsellers</t>
        </is>
      </c>
      <c r="F120" t="n">
        <v>172.93</v>
      </c>
      <c r="G120" s="20" t="n">
        <v>2638</v>
      </c>
      <c r="H120" s="21" t="n">
        <v>45</v>
      </c>
      <c r="I120" s="21" t="n">
        <v>2</v>
      </c>
      <c r="J120" s="21" t="n">
        <v>1324.76</v>
      </c>
    </row>
    <row r="121">
      <c r="A121" s="19" t="n">
        <v>46232</v>
      </c>
      <c r="B121" t="inlineStr">
        <is>
          <t>Meta</t>
        </is>
      </c>
      <c r="C121" t="inlineStr">
        <is>
          <t>VID | Founder story | v1</t>
        </is>
      </c>
      <c r="D121" t="inlineStr">
        <is>
          <t>Prospecting | Broad | EG</t>
        </is>
      </c>
      <c r="E121" t="inlineStr">
        <is>
          <t>UGC-Founder</t>
        </is>
      </c>
      <c r="F121" t="n">
        <v>155.11</v>
      </c>
      <c r="G121" s="20" t="n">
        <v>2366</v>
      </c>
      <c r="H121" s="21" t="n">
        <v>40</v>
      </c>
      <c r="I121" s="21" t="n">
        <v>0</v>
      </c>
      <c r="J121" s="21" t="n">
        <v>0</v>
      </c>
    </row>
    <row r="122">
      <c r="A122" s="19" t="n">
        <v>46233</v>
      </c>
      <c r="B122" t="inlineStr">
        <is>
          <t>Meta</t>
        </is>
      </c>
      <c r="C122" t="inlineStr">
        <is>
          <t>VID | Founder story | v4</t>
        </is>
      </c>
      <c r="D122" t="inlineStr">
        <is>
          <t>Prospecting | Broad | EG</t>
        </is>
      </c>
      <c r="E122" t="inlineStr">
        <is>
          <t>UGC-Founder</t>
        </is>
      </c>
      <c r="F122" t="n">
        <v>802.77</v>
      </c>
      <c r="G122" s="20" t="n">
        <v>11837</v>
      </c>
      <c r="H122" s="21" t="n">
        <v>200</v>
      </c>
      <c r="I122" s="21" t="n">
        <v>4</v>
      </c>
      <c r="J122" s="21" t="n">
        <v>2747.57</v>
      </c>
    </row>
    <row r="123">
      <c r="A123" s="19" t="n">
        <v>46233</v>
      </c>
      <c r="B123" t="inlineStr">
        <is>
          <t>Meta</t>
        </is>
      </c>
      <c r="C123" t="inlineStr">
        <is>
          <t>STATIC | Bundle offer | v2</t>
        </is>
      </c>
      <c r="D123" t="inlineStr">
        <is>
          <t>Prospecting | Broad | EG</t>
        </is>
      </c>
      <c r="E123" t="inlineStr">
        <is>
          <t>Static-Bundle</t>
        </is>
      </c>
      <c r="F123" t="n">
        <v>562.8</v>
      </c>
      <c r="G123" s="20" t="n">
        <v>8299</v>
      </c>
      <c r="H123" s="21" t="n">
        <v>140</v>
      </c>
      <c r="I123" s="21" t="n">
        <v>3</v>
      </c>
      <c r="J123" s="21" t="n">
        <v>2268.86</v>
      </c>
    </row>
    <row r="124">
      <c r="A124" s="19" t="n">
        <v>46233</v>
      </c>
      <c r="B124" t="inlineStr">
        <is>
          <t>Meta</t>
        </is>
      </c>
      <c r="C124" t="inlineStr">
        <is>
          <t>VID | Founder story | v3</t>
        </is>
      </c>
      <c r="D124" t="inlineStr">
        <is>
          <t>Prospecting | Broad | EG</t>
        </is>
      </c>
      <c r="E124" t="inlineStr">
        <is>
          <t>UGC-Founder</t>
        </is>
      </c>
      <c r="F124" t="n">
        <v>384.73</v>
      </c>
      <c r="G124" s="20" t="n">
        <v>5673</v>
      </c>
      <c r="H124" s="21" t="n">
        <v>96</v>
      </c>
      <c r="I124" s="21" t="n">
        <v>2</v>
      </c>
      <c r="J124" s="21" t="n">
        <v>1396.41</v>
      </c>
    </row>
    <row r="125">
      <c r="A125" s="19" t="n">
        <v>46233</v>
      </c>
      <c r="B125" t="inlineStr">
        <is>
          <t>Meta</t>
        </is>
      </c>
      <c r="C125" t="inlineStr">
        <is>
          <t>VID | Review compilation | v1</t>
        </is>
      </c>
      <c r="D125" t="inlineStr">
        <is>
          <t>Prospecting | Interest | EG</t>
        </is>
      </c>
      <c r="E125" t="inlineStr">
        <is>
          <t>UGC-Reviews</t>
        </is>
      </c>
      <c r="F125" t="n">
        <v>485.83</v>
      </c>
      <c r="G125" s="20" t="n">
        <v>7164</v>
      </c>
      <c r="H125" s="21" t="n">
        <v>121</v>
      </c>
      <c r="I125" s="21" t="n">
        <v>2</v>
      </c>
      <c r="J125" s="21" t="n">
        <v>1404.83</v>
      </c>
    </row>
    <row r="126">
      <c r="A126" s="19" t="n">
        <v>46233</v>
      </c>
      <c r="B126" t="inlineStr">
        <is>
          <t>Meta</t>
        </is>
      </c>
      <c r="C126" t="inlineStr">
        <is>
          <t>STATIC | Bundle offer | v1</t>
        </is>
      </c>
      <c r="D126" t="inlineStr">
        <is>
          <t>Test | Broad | EG</t>
        </is>
      </c>
      <c r="E126" t="inlineStr">
        <is>
          <t>Static-Bundle</t>
        </is>
      </c>
      <c r="F126" t="n">
        <v>275.76</v>
      </c>
      <c r="G126" s="20" t="n">
        <v>4066</v>
      </c>
      <c r="H126" s="21" t="n">
        <v>69</v>
      </c>
      <c r="I126" s="21" t="n">
        <v>1</v>
      </c>
      <c r="J126" s="21" t="n">
        <v>701.25</v>
      </c>
    </row>
    <row r="127">
      <c r="A127" s="19" t="n">
        <v>46233</v>
      </c>
      <c r="B127" t="inlineStr">
        <is>
          <t>Meta</t>
        </is>
      </c>
      <c r="C127" t="inlineStr">
        <is>
          <t>STATIC | Discount 20% | v1</t>
        </is>
      </c>
      <c r="D127" t="inlineStr">
        <is>
          <t>Retargeting | 7d IC</t>
        </is>
      </c>
      <c r="E127" t="inlineStr">
        <is>
          <t>Static-Discount</t>
        </is>
      </c>
      <c r="F127" t="n">
        <v>237.32</v>
      </c>
      <c r="G127" s="20" t="n">
        <v>3499</v>
      </c>
      <c r="H127" s="21" t="n">
        <v>59</v>
      </c>
      <c r="I127" s="21" t="n">
        <v>2</v>
      </c>
      <c r="J127" s="21" t="n">
        <v>1261.57</v>
      </c>
    </row>
    <row r="128">
      <c r="A128" s="19" t="n">
        <v>46233</v>
      </c>
      <c r="B128" t="inlineStr">
        <is>
          <t>Meta</t>
        </is>
      </c>
      <c r="C128" t="inlineStr">
        <is>
          <t>CAROUSEL | Best sellers</t>
        </is>
      </c>
      <c r="D128" t="inlineStr">
        <is>
          <t>Retargeting | 14d ATC</t>
        </is>
      </c>
      <c r="E128" t="inlineStr">
        <is>
          <t>Carousel-Bestsellers</t>
        </is>
      </c>
      <c r="F128" t="n">
        <v>172.45</v>
      </c>
      <c r="G128" s="20" t="n">
        <v>2543</v>
      </c>
      <c r="H128" s="21" t="n">
        <v>43</v>
      </c>
      <c r="I128" s="21" t="n">
        <v>2</v>
      </c>
      <c r="J128" s="21" t="n">
        <v>1379.23</v>
      </c>
    </row>
    <row r="129">
      <c r="A129" s="19" t="n">
        <v>46233</v>
      </c>
      <c r="B129" t="inlineStr">
        <is>
          <t>Meta</t>
        </is>
      </c>
      <c r="C129" t="inlineStr">
        <is>
          <t>VID | Founder story | v1</t>
        </is>
      </c>
      <c r="D129" t="inlineStr">
        <is>
          <t>Prospecting | Broad | EG</t>
        </is>
      </c>
      <c r="E129" t="inlineStr">
        <is>
          <t>UGC-Founder</t>
        </is>
      </c>
      <c r="F129" t="n">
        <v>150.92</v>
      </c>
      <c r="G129" s="20" t="n">
        <v>2225</v>
      </c>
      <c r="H129" s="21" t="n">
        <v>38</v>
      </c>
      <c r="I129" s="21" t="n">
        <v>0</v>
      </c>
      <c r="J129" s="21" t="n">
        <v>0</v>
      </c>
    </row>
    <row r="130">
      <c r="A130" s="19" t="n">
        <v>46234</v>
      </c>
      <c r="B130" t="inlineStr">
        <is>
          <t>Meta</t>
        </is>
      </c>
      <c r="C130" t="inlineStr">
        <is>
          <t>VID | Founder story | v4</t>
        </is>
      </c>
      <c r="D130" t="inlineStr">
        <is>
          <t>Prospecting | Broad | EG</t>
        </is>
      </c>
      <c r="E130" t="inlineStr">
        <is>
          <t>UGC-Founder</t>
        </is>
      </c>
      <c r="F130" t="n">
        <v>842.13</v>
      </c>
      <c r="G130" s="20" t="n">
        <v>13038</v>
      </c>
      <c r="H130" s="21" t="n">
        <v>232</v>
      </c>
      <c r="I130" s="21" t="n">
        <v>5</v>
      </c>
      <c r="J130" s="21" t="n">
        <v>3777.87</v>
      </c>
    </row>
    <row r="131">
      <c r="A131" s="19" t="n">
        <v>46234</v>
      </c>
      <c r="B131" t="inlineStr">
        <is>
          <t>Meta</t>
        </is>
      </c>
      <c r="C131" t="inlineStr">
        <is>
          <t>STATIC | Bundle offer | v2</t>
        </is>
      </c>
      <c r="D131" t="inlineStr">
        <is>
          <t>Prospecting | Broad | EG</t>
        </is>
      </c>
      <c r="E131" t="inlineStr">
        <is>
          <t>Static-Bundle</t>
        </is>
      </c>
      <c r="F131" t="n">
        <v>718.78</v>
      </c>
      <c r="G131" s="20" t="n">
        <v>11129</v>
      </c>
      <c r="H131" s="21" t="n">
        <v>198</v>
      </c>
      <c r="I131" s="21" t="n">
        <v>3</v>
      </c>
      <c r="J131" s="21" t="n">
        <v>2369.33</v>
      </c>
    </row>
    <row r="132">
      <c r="A132" s="19" t="n">
        <v>46234</v>
      </c>
      <c r="B132" t="inlineStr">
        <is>
          <t>Meta</t>
        </is>
      </c>
      <c r="C132" t="inlineStr">
        <is>
          <t>VID | Founder story | v3</t>
        </is>
      </c>
      <c r="D132" t="inlineStr">
        <is>
          <t>Prospecting | Broad | EG</t>
        </is>
      </c>
      <c r="E132" t="inlineStr">
        <is>
          <t>UGC-Founder</t>
        </is>
      </c>
      <c r="F132" t="n">
        <v>446.06</v>
      </c>
      <c r="G132" s="20" t="n">
        <v>6906</v>
      </c>
      <c r="H132" s="21" t="n">
        <v>123</v>
      </c>
      <c r="I132" s="21" t="n">
        <v>2</v>
      </c>
      <c r="J132" s="21" t="n">
        <v>1376.84</v>
      </c>
    </row>
    <row r="133">
      <c r="A133" s="19" t="n">
        <v>46234</v>
      </c>
      <c r="B133" t="inlineStr">
        <is>
          <t>Meta</t>
        </is>
      </c>
      <c r="C133" t="inlineStr">
        <is>
          <t>VID | Review compilation | v1</t>
        </is>
      </c>
      <c r="D133" t="inlineStr">
        <is>
          <t>Prospecting | Interest | EG</t>
        </is>
      </c>
      <c r="E133" t="inlineStr">
        <is>
          <t>UGC-Reviews</t>
        </is>
      </c>
      <c r="F133" t="n">
        <v>490.75</v>
      </c>
      <c r="G133" s="20" t="n">
        <v>7598</v>
      </c>
      <c r="H133" s="21" t="n">
        <v>135</v>
      </c>
      <c r="I133" s="21" t="n">
        <v>2</v>
      </c>
      <c r="J133" s="21" t="n">
        <v>1512.6</v>
      </c>
    </row>
    <row r="134">
      <c r="A134" s="19" t="n">
        <v>46234</v>
      </c>
      <c r="B134" t="inlineStr">
        <is>
          <t>Meta</t>
        </is>
      </c>
      <c r="C134" t="inlineStr">
        <is>
          <t>STATIC | Bundle offer | v1</t>
        </is>
      </c>
      <c r="D134" t="inlineStr">
        <is>
          <t>Test | Broad | EG</t>
        </is>
      </c>
      <c r="E134" t="inlineStr">
        <is>
          <t>Static-Bundle</t>
        </is>
      </c>
      <c r="F134" t="n">
        <v>352.07</v>
      </c>
      <c r="G134" s="20" t="n">
        <v>5451</v>
      </c>
      <c r="H134" s="21" t="n">
        <v>97</v>
      </c>
      <c r="I134" s="21" t="n">
        <v>1</v>
      </c>
      <c r="J134" s="21" t="n">
        <v>709.7</v>
      </c>
    </row>
    <row r="135">
      <c r="A135" s="19" t="n">
        <v>46234</v>
      </c>
      <c r="B135" t="inlineStr">
        <is>
          <t>Meta</t>
        </is>
      </c>
      <c r="C135" t="inlineStr">
        <is>
          <t>STATIC | Discount 20% | v1</t>
        </is>
      </c>
      <c r="D135" t="inlineStr">
        <is>
          <t>Retargeting | 7d IC</t>
        </is>
      </c>
      <c r="E135" t="inlineStr">
        <is>
          <t>Static-Discount</t>
        </is>
      </c>
      <c r="F135" t="n">
        <v>279.48</v>
      </c>
      <c r="G135" s="20" t="n">
        <v>4327</v>
      </c>
      <c r="H135" s="21" t="n">
        <v>77</v>
      </c>
      <c r="I135" s="21" t="n">
        <v>3</v>
      </c>
      <c r="J135" s="21" t="n">
        <v>2141.84</v>
      </c>
    </row>
    <row r="136">
      <c r="A136" s="19" t="n">
        <v>46234</v>
      </c>
      <c r="B136" t="inlineStr">
        <is>
          <t>Meta</t>
        </is>
      </c>
      <c r="C136" t="inlineStr">
        <is>
          <t>CAROUSEL | Best sellers</t>
        </is>
      </c>
      <c r="D136" t="inlineStr">
        <is>
          <t>Retargeting | 14d ATC</t>
        </is>
      </c>
      <c r="E136" t="inlineStr">
        <is>
          <t>Carousel-Bestsellers</t>
        </is>
      </c>
      <c r="F136" t="n">
        <v>182.33</v>
      </c>
      <c r="G136" s="20" t="n">
        <v>2823</v>
      </c>
      <c r="H136" s="21" t="n">
        <v>50</v>
      </c>
      <c r="I136" s="21" t="n">
        <v>2</v>
      </c>
      <c r="J136" s="21" t="n">
        <v>1575.96</v>
      </c>
    </row>
    <row r="137">
      <c r="A137" s="19" t="n">
        <v>46234</v>
      </c>
      <c r="B137" t="inlineStr">
        <is>
          <t>Meta</t>
        </is>
      </c>
      <c r="C137" t="inlineStr">
        <is>
          <t>VID | Founder story | v1</t>
        </is>
      </c>
      <c r="D137" t="inlineStr">
        <is>
          <t>Prospecting | Broad | EG</t>
        </is>
      </c>
      <c r="E137" t="inlineStr">
        <is>
          <t>UGC-Founder</t>
        </is>
      </c>
      <c r="F137" t="n">
        <v>154.75</v>
      </c>
      <c r="G137" s="20" t="n">
        <v>2396</v>
      </c>
      <c r="H137" s="21" t="n">
        <v>43</v>
      </c>
      <c r="I137" s="21" t="n">
        <v>0</v>
      </c>
      <c r="J137" s="21" t="n">
        <v>0</v>
      </c>
    </row>
    <row r="138">
      <c r="A138" s="19" t="n">
        <v>46235</v>
      </c>
      <c r="B138" t="inlineStr">
        <is>
          <t>Meta</t>
        </is>
      </c>
      <c r="C138" t="inlineStr">
        <is>
          <t>VID | Founder story | v4</t>
        </is>
      </c>
      <c r="D138" t="inlineStr">
        <is>
          <t>Prospecting | Broad | EG</t>
        </is>
      </c>
      <c r="E138" t="inlineStr">
        <is>
          <t>UGC-Founder</t>
        </is>
      </c>
      <c r="F138" t="n">
        <v>1107.78</v>
      </c>
      <c r="G138" s="20" t="n">
        <v>16782</v>
      </c>
      <c r="H138" s="21" t="n">
        <v>263</v>
      </c>
      <c r="I138" s="21" t="n">
        <v>6</v>
      </c>
      <c r="J138" s="21" t="n">
        <v>4092.66</v>
      </c>
    </row>
    <row r="139">
      <c r="A139" s="19" t="n">
        <v>46235</v>
      </c>
      <c r="B139" t="inlineStr">
        <is>
          <t>Meta</t>
        </is>
      </c>
      <c r="C139" t="inlineStr">
        <is>
          <t>STATIC | Bundle offer | v2</t>
        </is>
      </c>
      <c r="D139" t="inlineStr">
        <is>
          <t>Prospecting | Broad | EG</t>
        </is>
      </c>
      <c r="E139" t="inlineStr">
        <is>
          <t>Static-Bundle</t>
        </is>
      </c>
      <c r="F139" t="n">
        <v>781.65</v>
      </c>
      <c r="G139" s="20" t="n">
        <v>11842</v>
      </c>
      <c r="H139" s="21" t="n">
        <v>185</v>
      </c>
      <c r="I139" s="21" t="n">
        <v>3</v>
      </c>
      <c r="J139" s="21" t="n">
        <v>2079.77</v>
      </c>
    </row>
    <row r="140">
      <c r="A140" s="19" t="n">
        <v>46235</v>
      </c>
      <c r="B140" t="inlineStr">
        <is>
          <t>Meta</t>
        </is>
      </c>
      <c r="C140" t="inlineStr">
        <is>
          <t>VID | Founder story | v3</t>
        </is>
      </c>
      <c r="D140" t="inlineStr">
        <is>
          <t>Prospecting | Broad | EG</t>
        </is>
      </c>
      <c r="E140" t="inlineStr">
        <is>
          <t>UGC-Founder</t>
        </is>
      </c>
      <c r="F140" t="n">
        <v>611.12</v>
      </c>
      <c r="G140" s="20" t="n">
        <v>9258</v>
      </c>
      <c r="H140" s="21" t="n">
        <v>145</v>
      </c>
      <c r="I140" s="21" t="n">
        <v>2</v>
      </c>
      <c r="J140" s="21" t="n">
        <v>1371.3</v>
      </c>
    </row>
    <row r="141">
      <c r="A141" s="19" t="n">
        <v>46235</v>
      </c>
      <c r="B141" t="inlineStr">
        <is>
          <t>Meta</t>
        </is>
      </c>
      <c r="C141" t="inlineStr">
        <is>
          <t>VID | Review compilation | v1</t>
        </is>
      </c>
      <c r="D141" t="inlineStr">
        <is>
          <t>Prospecting | Interest | EG</t>
        </is>
      </c>
      <c r="E141" t="inlineStr">
        <is>
          <t>UGC-Reviews</t>
        </is>
      </c>
      <c r="F141" t="n">
        <v>534.5599999999999</v>
      </c>
      <c r="G141" s="20" t="n">
        <v>8098</v>
      </c>
      <c r="H141" s="21" t="n">
        <v>127</v>
      </c>
      <c r="I141" s="21" t="n">
        <v>2</v>
      </c>
      <c r="J141" s="21" t="n">
        <v>1498.97</v>
      </c>
    </row>
    <row r="142">
      <c r="A142" s="19" t="n">
        <v>46235</v>
      </c>
      <c r="B142" t="inlineStr">
        <is>
          <t>Meta</t>
        </is>
      </c>
      <c r="C142" t="inlineStr">
        <is>
          <t>STATIC | Bundle offer | v1</t>
        </is>
      </c>
      <c r="D142" t="inlineStr">
        <is>
          <t>Test | Broad | EG</t>
        </is>
      </c>
      <c r="E142" t="inlineStr">
        <is>
          <t>Static-Bundle</t>
        </is>
      </c>
      <c r="F142" t="n">
        <v>374.79</v>
      </c>
      <c r="G142" s="20" t="n">
        <v>5678</v>
      </c>
      <c r="H142" s="21" t="n">
        <v>89</v>
      </c>
      <c r="I142" s="21" t="n">
        <v>1</v>
      </c>
      <c r="J142" s="21" t="n">
        <v>716.11</v>
      </c>
    </row>
    <row r="143">
      <c r="A143" s="19" t="n">
        <v>46235</v>
      </c>
      <c r="B143" t="inlineStr">
        <is>
          <t>Meta</t>
        </is>
      </c>
      <c r="C143" t="inlineStr">
        <is>
          <t>STATIC | Discount 20% | v1</t>
        </is>
      </c>
      <c r="D143" t="inlineStr">
        <is>
          <t>Retargeting | 7d IC</t>
        </is>
      </c>
      <c r="E143" t="inlineStr">
        <is>
          <t>Static-Discount</t>
        </is>
      </c>
      <c r="F143" t="n">
        <v>302.63</v>
      </c>
      <c r="G143" s="20" t="n">
        <v>4585</v>
      </c>
      <c r="H143" s="21" t="n">
        <v>72</v>
      </c>
      <c r="I143" s="21" t="n">
        <v>2</v>
      </c>
      <c r="J143" s="21" t="n">
        <v>1481.07</v>
      </c>
    </row>
    <row r="144">
      <c r="A144" s="19" t="n">
        <v>46235</v>
      </c>
      <c r="B144" t="inlineStr">
        <is>
          <t>Meta</t>
        </is>
      </c>
      <c r="C144" t="inlineStr">
        <is>
          <t>CAROUSEL | Best sellers</t>
        </is>
      </c>
      <c r="D144" t="inlineStr">
        <is>
          <t>Retargeting | 14d ATC</t>
        </is>
      </c>
      <c r="E144" t="inlineStr">
        <is>
          <t>Carousel-Bestsellers</t>
        </is>
      </c>
      <c r="F144" t="n">
        <v>212.26</v>
      </c>
      <c r="G144" s="20" t="n">
        <v>3216</v>
      </c>
      <c r="H144" s="21" t="n">
        <v>50</v>
      </c>
      <c r="I144" s="21" t="n">
        <v>2</v>
      </c>
      <c r="J144" s="21" t="n">
        <v>1499.15</v>
      </c>
    </row>
    <row r="145">
      <c r="A145" s="19" t="n">
        <v>46235</v>
      </c>
      <c r="B145" t="inlineStr">
        <is>
          <t>Meta</t>
        </is>
      </c>
      <c r="C145" t="inlineStr">
        <is>
          <t>VID | Founder story | v1</t>
        </is>
      </c>
      <c r="D145" t="inlineStr">
        <is>
          <t>Prospecting | Broad | EG</t>
        </is>
      </c>
      <c r="E145" t="inlineStr">
        <is>
          <t>UGC-Founder</t>
        </is>
      </c>
      <c r="F145" t="n">
        <v>178.97</v>
      </c>
      <c r="G145" s="20" t="n">
        <v>2711</v>
      </c>
      <c r="H145" s="21" t="n">
        <v>42</v>
      </c>
      <c r="I145" s="21" t="n">
        <v>1</v>
      </c>
      <c r="J145" s="21" t="n">
        <v>655.5599999999999</v>
      </c>
    </row>
    <row r="146">
      <c r="A146" s="19" t="n">
        <v>46236</v>
      </c>
      <c r="B146" t="inlineStr">
        <is>
          <t>Meta</t>
        </is>
      </c>
      <c r="C146" t="inlineStr">
        <is>
          <t>VID | Founder story | v4</t>
        </is>
      </c>
      <c r="D146" t="inlineStr">
        <is>
          <t>Prospecting | Broad | EG</t>
        </is>
      </c>
      <c r="E146" t="inlineStr">
        <is>
          <t>UGC-Founder</t>
        </is>
      </c>
      <c r="F146" t="n">
        <v>1148.26</v>
      </c>
      <c r="G146" s="20" t="n">
        <v>17648</v>
      </c>
      <c r="H146" s="21" t="n">
        <v>321</v>
      </c>
      <c r="I146" s="21" t="n">
        <v>8</v>
      </c>
      <c r="J146" s="21" t="n">
        <v>5015.43</v>
      </c>
    </row>
    <row r="147">
      <c r="A147" s="19" t="n">
        <v>46236</v>
      </c>
      <c r="B147" t="inlineStr">
        <is>
          <t>Meta</t>
        </is>
      </c>
      <c r="C147" t="inlineStr">
        <is>
          <t>STATIC | Bundle offer | v2</t>
        </is>
      </c>
      <c r="D147" t="inlineStr">
        <is>
          <t>Prospecting | Broad | EG</t>
        </is>
      </c>
      <c r="E147" t="inlineStr">
        <is>
          <t>Static-Bundle</t>
        </is>
      </c>
      <c r="F147" t="n">
        <v>852.09</v>
      </c>
      <c r="G147" s="20" t="n">
        <v>13096</v>
      </c>
      <c r="H147" s="21" t="n">
        <v>238</v>
      </c>
      <c r="I147" s="21" t="n">
        <v>5</v>
      </c>
      <c r="J147" s="21" t="n">
        <v>3543.41</v>
      </c>
    </row>
    <row r="148">
      <c r="A148" s="19" t="n">
        <v>46236</v>
      </c>
      <c r="B148" t="inlineStr">
        <is>
          <t>Meta</t>
        </is>
      </c>
      <c r="C148" t="inlineStr">
        <is>
          <t>VID | Founder story | v3</t>
        </is>
      </c>
      <c r="D148" t="inlineStr">
        <is>
          <t>Prospecting | Broad | EG</t>
        </is>
      </c>
      <c r="E148" t="inlineStr">
        <is>
          <t>UGC-Founder</t>
        </is>
      </c>
      <c r="F148" t="n">
        <v>621.59</v>
      </c>
      <c r="G148" s="20" t="n">
        <v>9554</v>
      </c>
      <c r="H148" s="21" t="n">
        <v>174</v>
      </c>
      <c r="I148" s="21" t="n">
        <v>3</v>
      </c>
      <c r="J148" s="21" t="n">
        <v>2173.12</v>
      </c>
    </row>
    <row r="149">
      <c r="A149" s="19" t="n">
        <v>46236</v>
      </c>
      <c r="B149" t="inlineStr">
        <is>
          <t>Meta</t>
        </is>
      </c>
      <c r="C149" t="inlineStr">
        <is>
          <t>VID | Review compilation | v1</t>
        </is>
      </c>
      <c r="D149" t="inlineStr">
        <is>
          <t>Prospecting | Interest | EG</t>
        </is>
      </c>
      <c r="E149" t="inlineStr">
        <is>
          <t>UGC-Reviews</t>
        </is>
      </c>
      <c r="F149" t="n">
        <v>502.66</v>
      </c>
      <c r="G149" s="20" t="n">
        <v>7726</v>
      </c>
      <c r="H149" s="21" t="n">
        <v>140</v>
      </c>
      <c r="I149" s="21" t="n">
        <v>3</v>
      </c>
      <c r="J149" s="21" t="n">
        <v>2219.63</v>
      </c>
    </row>
    <row r="150">
      <c r="A150" s="19" t="n">
        <v>46236</v>
      </c>
      <c r="B150" t="inlineStr">
        <is>
          <t>Meta</t>
        </is>
      </c>
      <c r="C150" t="inlineStr">
        <is>
          <t>STATIC | Bundle offer | v1</t>
        </is>
      </c>
      <c r="D150" t="inlineStr">
        <is>
          <t>Test | Broad | EG</t>
        </is>
      </c>
      <c r="E150" t="inlineStr">
        <is>
          <t>Static-Bundle</t>
        </is>
      </c>
      <c r="F150" t="n">
        <v>333.35</v>
      </c>
      <c r="G150" s="20" t="n">
        <v>5123</v>
      </c>
      <c r="H150" s="21" t="n">
        <v>93</v>
      </c>
      <c r="I150" s="21" t="n">
        <v>2</v>
      </c>
      <c r="J150" s="21" t="n">
        <v>1276.16</v>
      </c>
    </row>
    <row r="151">
      <c r="A151" s="19" t="n">
        <v>46236</v>
      </c>
      <c r="B151" t="inlineStr">
        <is>
          <t>Meta</t>
        </is>
      </c>
      <c r="C151" t="inlineStr">
        <is>
          <t>STATIC | Discount 20% | v1</t>
        </is>
      </c>
      <c r="D151" t="inlineStr">
        <is>
          <t>Retargeting | 7d IC</t>
        </is>
      </c>
      <c r="E151" t="inlineStr">
        <is>
          <t>Static-Discount</t>
        </is>
      </c>
      <c r="F151" t="n">
        <v>307.92</v>
      </c>
      <c r="G151" s="20" t="n">
        <v>4733</v>
      </c>
      <c r="H151" s="21" t="n">
        <v>86</v>
      </c>
      <c r="I151" s="21" t="n">
        <v>3</v>
      </c>
      <c r="J151" s="21" t="n">
        <v>2145.23</v>
      </c>
    </row>
    <row r="152">
      <c r="A152" s="19" t="n">
        <v>46236</v>
      </c>
      <c r="B152" t="inlineStr">
        <is>
          <t>Meta</t>
        </is>
      </c>
      <c r="C152" t="inlineStr">
        <is>
          <t>CAROUSEL | Best sellers</t>
        </is>
      </c>
      <c r="D152" t="inlineStr">
        <is>
          <t>Retargeting | 14d ATC</t>
        </is>
      </c>
      <c r="E152" t="inlineStr">
        <is>
          <t>Carousel-Bestsellers</t>
        </is>
      </c>
      <c r="F152" t="n">
        <v>191.23</v>
      </c>
      <c r="G152" s="20" t="n">
        <v>2939</v>
      </c>
      <c r="H152" s="21" t="n">
        <v>53</v>
      </c>
      <c r="I152" s="21" t="n">
        <v>3</v>
      </c>
      <c r="J152" s="21" t="n">
        <v>2122.26</v>
      </c>
    </row>
    <row r="153">
      <c r="A153" s="19" t="n">
        <v>46236</v>
      </c>
      <c r="B153" t="inlineStr">
        <is>
          <t>Meta</t>
        </is>
      </c>
      <c r="C153" t="inlineStr">
        <is>
          <t>VID | Founder story | v1</t>
        </is>
      </c>
      <c r="D153" t="inlineStr">
        <is>
          <t>Prospecting | Broad | EG</t>
        </is>
      </c>
      <c r="E153" t="inlineStr">
        <is>
          <t>UGC-Founder</t>
        </is>
      </c>
      <c r="F153" t="n">
        <v>161.83</v>
      </c>
      <c r="G153" s="20" t="n">
        <v>2487</v>
      </c>
      <c r="H153" s="21" t="n">
        <v>45</v>
      </c>
      <c r="I153" s="21" t="n">
        <v>1</v>
      </c>
      <c r="J153" s="21" t="n">
        <v>636.51</v>
      </c>
    </row>
    <row r="154">
      <c r="A154" s="19" t="n">
        <v>46237</v>
      </c>
      <c r="B154" t="inlineStr">
        <is>
          <t>Meta</t>
        </is>
      </c>
      <c r="C154" t="inlineStr">
        <is>
          <t>VID | Founder story | v4</t>
        </is>
      </c>
      <c r="D154" t="inlineStr">
        <is>
          <t>Prospecting | Broad | EG</t>
        </is>
      </c>
      <c r="E154" t="inlineStr">
        <is>
          <t>UGC-Founder</t>
        </is>
      </c>
      <c r="F154" t="n">
        <v>980.25</v>
      </c>
      <c r="G154" s="20" t="n">
        <v>14554</v>
      </c>
      <c r="H154" s="21" t="n">
        <v>238</v>
      </c>
      <c r="I154" s="21" t="n">
        <v>6</v>
      </c>
      <c r="J154" s="21" t="n">
        <v>4126.28</v>
      </c>
    </row>
    <row r="155">
      <c r="A155" s="19" t="n">
        <v>46237</v>
      </c>
      <c r="B155" t="inlineStr">
        <is>
          <t>Meta</t>
        </is>
      </c>
      <c r="C155" t="inlineStr">
        <is>
          <t>STATIC | Bundle offer | v2</t>
        </is>
      </c>
      <c r="D155" t="inlineStr">
        <is>
          <t>Prospecting | Broad | EG</t>
        </is>
      </c>
      <c r="E155" t="inlineStr">
        <is>
          <t>Static-Bundle</t>
        </is>
      </c>
      <c r="F155" t="n">
        <v>668.4</v>
      </c>
      <c r="G155" s="20" t="n">
        <v>9924</v>
      </c>
      <c r="H155" s="21" t="n">
        <v>162</v>
      </c>
      <c r="I155" s="21" t="n">
        <v>3</v>
      </c>
      <c r="J155" s="21" t="n">
        <v>2182.66</v>
      </c>
    </row>
    <row r="156">
      <c r="A156" s="19" t="n">
        <v>46237</v>
      </c>
      <c r="B156" t="inlineStr">
        <is>
          <t>Meta</t>
        </is>
      </c>
      <c r="C156" t="inlineStr">
        <is>
          <t>VID | Founder story | v3</t>
        </is>
      </c>
      <c r="D156" t="inlineStr">
        <is>
          <t>Prospecting | Broad | EG</t>
        </is>
      </c>
      <c r="E156" t="inlineStr">
        <is>
          <t>UGC-Founder</t>
        </is>
      </c>
      <c r="F156" t="n">
        <v>402.65</v>
      </c>
      <c r="G156" s="20" t="n">
        <v>5978</v>
      </c>
      <c r="H156" s="21" t="n">
        <v>98</v>
      </c>
      <c r="I156" s="21" t="n">
        <v>2</v>
      </c>
      <c r="J156" s="21" t="n">
        <v>1479.92</v>
      </c>
    </row>
    <row r="157">
      <c r="A157" s="19" t="n">
        <v>46237</v>
      </c>
      <c r="B157" t="inlineStr">
        <is>
          <t>Meta</t>
        </is>
      </c>
      <c r="C157" t="inlineStr">
        <is>
          <t>VID | Review compilation | v1</t>
        </is>
      </c>
      <c r="D157" t="inlineStr">
        <is>
          <t>Prospecting | Interest | EG</t>
        </is>
      </c>
      <c r="E157" t="inlineStr">
        <is>
          <t>UGC-Reviews</t>
        </is>
      </c>
      <c r="F157" t="n">
        <v>499.32</v>
      </c>
      <c r="G157" s="20" t="n">
        <v>7414</v>
      </c>
      <c r="H157" s="21" t="n">
        <v>121</v>
      </c>
      <c r="I157" s="21" t="n">
        <v>3</v>
      </c>
      <c r="J157" s="21" t="n">
        <v>2141.76</v>
      </c>
    </row>
    <row r="158">
      <c r="A158" s="19" t="n">
        <v>46237</v>
      </c>
      <c r="B158" t="inlineStr">
        <is>
          <t>Meta</t>
        </is>
      </c>
      <c r="C158" t="inlineStr">
        <is>
          <t>STATIC | Bundle offer | v1</t>
        </is>
      </c>
      <c r="D158" t="inlineStr">
        <is>
          <t>Test | Broad | EG</t>
        </is>
      </c>
      <c r="E158" t="inlineStr">
        <is>
          <t>Static-Bundle</t>
        </is>
      </c>
      <c r="F158" t="n">
        <v>284.14</v>
      </c>
      <c r="G158" s="20" t="n">
        <v>4219</v>
      </c>
      <c r="H158" s="21" t="n">
        <v>69</v>
      </c>
      <c r="I158" s="21" t="n">
        <v>1</v>
      </c>
      <c r="J158" s="21" t="n">
        <v>692.77</v>
      </c>
    </row>
    <row r="159">
      <c r="A159" s="19" t="n">
        <v>46237</v>
      </c>
      <c r="B159" t="inlineStr">
        <is>
          <t>Meta</t>
        </is>
      </c>
      <c r="C159" t="inlineStr">
        <is>
          <t>STATIC | Discount 20% | v1</t>
        </is>
      </c>
      <c r="D159" t="inlineStr">
        <is>
          <t>Retargeting | 7d IC</t>
        </is>
      </c>
      <c r="E159" t="inlineStr">
        <is>
          <t>Static-Discount</t>
        </is>
      </c>
      <c r="F159" t="n">
        <v>243.31</v>
      </c>
      <c r="G159" s="20" t="n">
        <v>3612</v>
      </c>
      <c r="H159" s="21" t="n">
        <v>59</v>
      </c>
      <c r="I159" s="21" t="n">
        <v>2</v>
      </c>
      <c r="J159" s="21" t="n">
        <v>1421.77</v>
      </c>
    </row>
    <row r="160">
      <c r="A160" s="19" t="n">
        <v>46237</v>
      </c>
      <c r="B160" t="inlineStr">
        <is>
          <t>Meta</t>
        </is>
      </c>
      <c r="C160" t="inlineStr">
        <is>
          <t>CAROUSEL | Best sellers</t>
        </is>
      </c>
      <c r="D160" t="inlineStr">
        <is>
          <t>Retargeting | 14d ATC</t>
        </is>
      </c>
      <c r="E160" t="inlineStr">
        <is>
          <t>Carousel-Bestsellers</t>
        </is>
      </c>
      <c r="F160" t="n">
        <v>196.09</v>
      </c>
      <c r="G160" s="20" t="n">
        <v>2911</v>
      </c>
      <c r="H160" s="21" t="n">
        <v>48</v>
      </c>
      <c r="I160" s="21" t="n">
        <v>2</v>
      </c>
      <c r="J160" s="21" t="n">
        <v>1540.86</v>
      </c>
    </row>
    <row r="161">
      <c r="A161" s="19" t="n">
        <v>46237</v>
      </c>
      <c r="B161" t="inlineStr">
        <is>
          <t>Meta</t>
        </is>
      </c>
      <c r="C161" t="inlineStr">
        <is>
          <t>VID | Founder story | v1</t>
        </is>
      </c>
      <c r="D161" t="inlineStr">
        <is>
          <t>Prospecting | Broad | EG</t>
        </is>
      </c>
      <c r="E161" t="inlineStr">
        <is>
          <t>UGC-Founder</t>
        </is>
      </c>
      <c r="F161" t="n">
        <v>150.42</v>
      </c>
      <c r="G161" s="20" t="n">
        <v>2233</v>
      </c>
      <c r="H161" s="21" t="n">
        <v>37</v>
      </c>
      <c r="I161" s="21" t="n">
        <v>0</v>
      </c>
      <c r="J161" s="21" t="n">
        <v>0</v>
      </c>
    </row>
    <row r="162">
      <c r="A162" s="19" t="n">
        <v>46238</v>
      </c>
      <c r="B162" t="inlineStr">
        <is>
          <t>Meta</t>
        </is>
      </c>
      <c r="C162" t="inlineStr">
        <is>
          <t>VID | Founder story | v4</t>
        </is>
      </c>
      <c r="D162" t="inlineStr">
        <is>
          <t>Prospecting | Broad | EG</t>
        </is>
      </c>
      <c r="E162" t="inlineStr">
        <is>
          <t>UGC-Founder</t>
        </is>
      </c>
      <c r="F162" t="n">
        <v>895.3</v>
      </c>
      <c r="G162" s="20" t="n">
        <v>13527</v>
      </c>
      <c r="H162" s="21" t="n">
        <v>228</v>
      </c>
      <c r="I162" s="21" t="n">
        <v>5</v>
      </c>
      <c r="J162" s="21" t="n">
        <v>3773.72</v>
      </c>
    </row>
    <row r="163">
      <c r="A163" s="19" t="n">
        <v>46238</v>
      </c>
      <c r="B163" t="inlineStr">
        <is>
          <t>Meta</t>
        </is>
      </c>
      <c r="C163" t="inlineStr">
        <is>
          <t>STATIC | Bundle offer | v2</t>
        </is>
      </c>
      <c r="D163" t="inlineStr">
        <is>
          <t>Prospecting | Broad | EG</t>
        </is>
      </c>
      <c r="E163" t="inlineStr">
        <is>
          <t>Static-Bundle</t>
        </is>
      </c>
      <c r="F163" t="n">
        <v>576.85</v>
      </c>
      <c r="G163" s="20" t="n">
        <v>8716</v>
      </c>
      <c r="H163" s="21" t="n">
        <v>147</v>
      </c>
      <c r="I163" s="21" t="n">
        <v>3</v>
      </c>
      <c r="J163" s="21" t="n">
        <v>2342.73</v>
      </c>
    </row>
    <row r="164">
      <c r="A164" s="19" t="n">
        <v>46238</v>
      </c>
      <c r="B164" t="inlineStr">
        <is>
          <t>Meta</t>
        </is>
      </c>
      <c r="C164" t="inlineStr">
        <is>
          <t>VID | Founder story | v3</t>
        </is>
      </c>
      <c r="D164" t="inlineStr">
        <is>
          <t>Prospecting | Broad | EG</t>
        </is>
      </c>
      <c r="E164" t="inlineStr">
        <is>
          <t>UGC-Founder</t>
        </is>
      </c>
      <c r="F164" t="n">
        <v>376.82</v>
      </c>
      <c r="G164" s="20" t="n">
        <v>5693</v>
      </c>
      <c r="H164" s="21" t="n">
        <v>96</v>
      </c>
      <c r="I164" s="21" t="n">
        <v>2</v>
      </c>
      <c r="J164" s="21" t="n">
        <v>1314.37</v>
      </c>
    </row>
    <row r="165">
      <c r="A165" s="19" t="n">
        <v>46238</v>
      </c>
      <c r="B165" t="inlineStr">
        <is>
          <t>Meta</t>
        </is>
      </c>
      <c r="C165" t="inlineStr">
        <is>
          <t>VID | Review compilation | v1</t>
        </is>
      </c>
      <c r="D165" t="inlineStr">
        <is>
          <t>Prospecting | Interest | EG</t>
        </is>
      </c>
      <c r="E165" t="inlineStr">
        <is>
          <t>UGC-Reviews</t>
        </is>
      </c>
      <c r="F165" t="n">
        <v>418.24</v>
      </c>
      <c r="G165" s="20" t="n">
        <v>6319</v>
      </c>
      <c r="H165" s="21" t="n">
        <v>106</v>
      </c>
      <c r="I165" s="21" t="n">
        <v>2</v>
      </c>
      <c r="J165" s="21" t="n">
        <v>1360.26</v>
      </c>
    </row>
    <row r="166">
      <c r="A166" s="19" t="n">
        <v>46238</v>
      </c>
      <c r="B166" t="inlineStr">
        <is>
          <t>Meta</t>
        </is>
      </c>
      <c r="C166" t="inlineStr">
        <is>
          <t>STATIC | Bundle offer | v1</t>
        </is>
      </c>
      <c r="D166" t="inlineStr">
        <is>
          <t>Test | Broad | EG</t>
        </is>
      </c>
      <c r="E166" t="inlineStr">
        <is>
          <t>Static-Bundle</t>
        </is>
      </c>
      <c r="F166" t="n">
        <v>304.59</v>
      </c>
      <c r="G166" s="20" t="n">
        <v>4602</v>
      </c>
      <c r="H166" s="21" t="n">
        <v>77</v>
      </c>
      <c r="I166" s="21" t="n">
        <v>1</v>
      </c>
      <c r="J166" s="21" t="n">
        <v>647.88</v>
      </c>
    </row>
    <row r="167">
      <c r="A167" s="19" t="n">
        <v>46238</v>
      </c>
      <c r="B167" t="inlineStr">
        <is>
          <t>Meta</t>
        </is>
      </c>
      <c r="C167" t="inlineStr">
        <is>
          <t>STATIC | Discount 20% | v1</t>
        </is>
      </c>
      <c r="D167" t="inlineStr">
        <is>
          <t>Retargeting | 7d IC</t>
        </is>
      </c>
      <c r="E167" t="inlineStr">
        <is>
          <t>Static-Discount</t>
        </is>
      </c>
      <c r="F167" t="n">
        <v>245.63</v>
      </c>
      <c r="G167" s="20" t="n">
        <v>3711</v>
      </c>
      <c r="H167" s="21" t="n">
        <v>62</v>
      </c>
      <c r="I167" s="21" t="n">
        <v>2</v>
      </c>
      <c r="J167" s="21" t="n">
        <v>1506.82</v>
      </c>
    </row>
    <row r="168">
      <c r="A168" s="19" t="n">
        <v>46238</v>
      </c>
      <c r="B168" t="inlineStr">
        <is>
          <t>Meta</t>
        </is>
      </c>
      <c r="C168" t="inlineStr">
        <is>
          <t>CAROUSEL | Best sellers</t>
        </is>
      </c>
      <c r="D168" t="inlineStr">
        <is>
          <t>Retargeting | 14d ATC</t>
        </is>
      </c>
      <c r="E168" t="inlineStr">
        <is>
          <t>Carousel-Bestsellers</t>
        </is>
      </c>
      <c r="F168" t="n">
        <v>148.92</v>
      </c>
      <c r="G168" s="20" t="n">
        <v>2250</v>
      </c>
      <c r="H168" s="21" t="n">
        <v>38</v>
      </c>
      <c r="I168" s="21" t="n">
        <v>1</v>
      </c>
      <c r="J168" s="21" t="n">
        <v>680.83</v>
      </c>
    </row>
    <row r="169">
      <c r="A169" s="19" t="n">
        <v>46238</v>
      </c>
      <c r="B169" t="inlineStr">
        <is>
          <t>Meta</t>
        </is>
      </c>
      <c r="C169" t="inlineStr">
        <is>
          <t>VID | Founder story | v1</t>
        </is>
      </c>
      <c r="D169" t="inlineStr">
        <is>
          <t>Prospecting | Broad | EG</t>
        </is>
      </c>
      <c r="E169" t="inlineStr">
        <is>
          <t>UGC-Founder</t>
        </is>
      </c>
      <c r="F169" t="n">
        <v>156.99</v>
      </c>
      <c r="G169" s="20" t="n">
        <v>2372</v>
      </c>
      <c r="H169" s="21" t="n">
        <v>40</v>
      </c>
      <c r="I169" s="21" t="n">
        <v>0</v>
      </c>
      <c r="J169" s="21" t="n">
        <v>0</v>
      </c>
    </row>
    <row r="170">
      <c r="A170" s="19" t="n">
        <v>46239</v>
      </c>
      <c r="B170" t="inlineStr">
        <is>
          <t>Meta</t>
        </is>
      </c>
      <c r="C170" t="inlineStr">
        <is>
          <t>VID | Founder story | v4</t>
        </is>
      </c>
      <c r="D170" t="inlineStr">
        <is>
          <t>Prospecting | Broad | EG</t>
        </is>
      </c>
      <c r="E170" t="inlineStr">
        <is>
          <t>UGC-Founder</t>
        </is>
      </c>
      <c r="F170" t="n">
        <v>849</v>
      </c>
      <c r="G170" s="20" t="n">
        <v>12761</v>
      </c>
      <c r="H170" s="21" t="n">
        <v>223</v>
      </c>
      <c r="I170" s="21" t="n">
        <v>6</v>
      </c>
      <c r="J170" s="21" t="n">
        <v>3715.49</v>
      </c>
    </row>
    <row r="171">
      <c r="A171" s="19" t="n">
        <v>46239</v>
      </c>
      <c r="B171" t="inlineStr">
        <is>
          <t>Meta</t>
        </is>
      </c>
      <c r="C171" t="inlineStr">
        <is>
          <t>STATIC | Bundle offer | v2</t>
        </is>
      </c>
      <c r="D171" t="inlineStr">
        <is>
          <t>Prospecting | Broad | EG</t>
        </is>
      </c>
      <c r="E171" t="inlineStr">
        <is>
          <t>Static-Bundle</t>
        </is>
      </c>
      <c r="F171" t="n">
        <v>651.04</v>
      </c>
      <c r="G171" s="20" t="n">
        <v>9786</v>
      </c>
      <c r="H171" s="21" t="n">
        <v>171</v>
      </c>
      <c r="I171" s="21" t="n">
        <v>4</v>
      </c>
      <c r="J171" s="21" t="n">
        <v>2459.76</v>
      </c>
    </row>
    <row r="172">
      <c r="A172" s="19" t="n">
        <v>46239</v>
      </c>
      <c r="B172" t="inlineStr">
        <is>
          <t>Meta</t>
        </is>
      </c>
      <c r="C172" t="inlineStr">
        <is>
          <t>VID | Founder story | v3</t>
        </is>
      </c>
      <c r="D172" t="inlineStr">
        <is>
          <t>Prospecting | Broad | EG</t>
        </is>
      </c>
      <c r="E172" t="inlineStr">
        <is>
          <t>UGC-Founder</t>
        </is>
      </c>
      <c r="F172" t="n">
        <v>476.23</v>
      </c>
      <c r="G172" s="20" t="n">
        <v>7158</v>
      </c>
      <c r="H172" s="21" t="n">
        <v>125</v>
      </c>
      <c r="I172" s="21" t="n">
        <v>2</v>
      </c>
      <c r="J172" s="21" t="n">
        <v>1400.07</v>
      </c>
    </row>
    <row r="173">
      <c r="A173" s="19" t="n">
        <v>46239</v>
      </c>
      <c r="B173" t="inlineStr">
        <is>
          <t>Meta</t>
        </is>
      </c>
      <c r="C173" t="inlineStr">
        <is>
          <t>VID | Review compilation | v1</t>
        </is>
      </c>
      <c r="D173" t="inlineStr">
        <is>
          <t>Prospecting | Interest | EG</t>
        </is>
      </c>
      <c r="E173" t="inlineStr">
        <is>
          <t>UGC-Reviews</t>
        </is>
      </c>
      <c r="F173" t="n">
        <v>403.16</v>
      </c>
      <c r="G173" s="20" t="n">
        <v>6060</v>
      </c>
      <c r="H173" s="21" t="n">
        <v>106</v>
      </c>
      <c r="I173" s="21" t="n">
        <v>2</v>
      </c>
      <c r="J173" s="21" t="n">
        <v>1329.13</v>
      </c>
    </row>
    <row r="174">
      <c r="A174" s="19" t="n">
        <v>46239</v>
      </c>
      <c r="B174" t="inlineStr">
        <is>
          <t>Meta</t>
        </is>
      </c>
      <c r="C174" t="inlineStr">
        <is>
          <t>STATIC | Bundle offer | v1</t>
        </is>
      </c>
      <c r="D174" t="inlineStr">
        <is>
          <t>Test | Broad | EG</t>
        </is>
      </c>
      <c r="E174" t="inlineStr">
        <is>
          <t>Static-Bundle</t>
        </is>
      </c>
      <c r="F174" t="n">
        <v>259.28</v>
      </c>
      <c r="G174" s="20" t="n">
        <v>3897</v>
      </c>
      <c r="H174" s="21" t="n">
        <v>68</v>
      </c>
      <c r="I174" s="21" t="n">
        <v>1</v>
      </c>
      <c r="J174" s="21" t="n">
        <v>616.95</v>
      </c>
    </row>
    <row r="175">
      <c r="A175" s="19" t="n">
        <v>46239</v>
      </c>
      <c r="B175" t="inlineStr">
        <is>
          <t>Meta</t>
        </is>
      </c>
      <c r="C175" t="inlineStr">
        <is>
          <t>STATIC | Discount 20% | v1</t>
        </is>
      </c>
      <c r="D175" t="inlineStr">
        <is>
          <t>Retargeting | 7d IC</t>
        </is>
      </c>
      <c r="E175" t="inlineStr">
        <is>
          <t>Static-Discount</t>
        </is>
      </c>
      <c r="F175" t="n">
        <v>271.83</v>
      </c>
      <c r="G175" s="20" t="n">
        <v>4086</v>
      </c>
      <c r="H175" s="21" t="n">
        <v>72</v>
      </c>
      <c r="I175" s="21" t="n">
        <v>3</v>
      </c>
      <c r="J175" s="21" t="n">
        <v>2201.36</v>
      </c>
    </row>
    <row r="176">
      <c r="A176" s="19" t="n">
        <v>46239</v>
      </c>
      <c r="B176" t="inlineStr">
        <is>
          <t>Meta</t>
        </is>
      </c>
      <c r="C176" t="inlineStr">
        <is>
          <t>CAROUSEL | Best sellers</t>
        </is>
      </c>
      <c r="D176" t="inlineStr">
        <is>
          <t>Retargeting | 14d ATC</t>
        </is>
      </c>
      <c r="E176" t="inlineStr">
        <is>
          <t>Carousel-Bestsellers</t>
        </is>
      </c>
      <c r="F176" t="n">
        <v>172.6</v>
      </c>
      <c r="G176" s="20" t="n">
        <v>2594</v>
      </c>
      <c r="H176" s="21" t="n">
        <v>45</v>
      </c>
      <c r="I176" s="21" t="n">
        <v>2</v>
      </c>
      <c r="J176" s="21" t="n">
        <v>1385.56</v>
      </c>
    </row>
    <row r="177">
      <c r="A177" s="19" t="n">
        <v>46239</v>
      </c>
      <c r="B177" t="inlineStr">
        <is>
          <t>Meta</t>
        </is>
      </c>
      <c r="C177" t="inlineStr">
        <is>
          <t>VID | Founder story | v1</t>
        </is>
      </c>
      <c r="D177" t="inlineStr">
        <is>
          <t>Prospecting | Broad | EG</t>
        </is>
      </c>
      <c r="E177" t="inlineStr">
        <is>
          <t>UGC-Founder</t>
        </is>
      </c>
      <c r="F177" t="n">
        <v>143.35</v>
      </c>
      <c r="G177" s="20" t="n">
        <v>2155</v>
      </c>
      <c r="H177" s="21" t="n">
        <v>38</v>
      </c>
      <c r="I177" s="21" t="n">
        <v>0</v>
      </c>
      <c r="J177" s="21" t="n">
        <v>0</v>
      </c>
    </row>
    <row r="178">
      <c r="A178" s="19" t="n">
        <v>46240</v>
      </c>
      <c r="B178" t="inlineStr">
        <is>
          <t>Meta</t>
        </is>
      </c>
      <c r="C178" t="inlineStr">
        <is>
          <t>VID | Founder story | v4</t>
        </is>
      </c>
      <c r="D178" t="inlineStr">
        <is>
          <t>Prospecting | Broad | EG</t>
        </is>
      </c>
      <c r="E178" t="inlineStr">
        <is>
          <t>UGC-Founder</t>
        </is>
      </c>
      <c r="F178" t="n">
        <v>770.4299999999999</v>
      </c>
      <c r="G178" s="20" t="n">
        <v>11579</v>
      </c>
      <c r="H178" s="21" t="n">
        <v>204</v>
      </c>
      <c r="I178" s="21" t="n">
        <v>4</v>
      </c>
      <c r="J178" s="21" t="n">
        <v>2863.42</v>
      </c>
    </row>
    <row r="179">
      <c r="A179" s="19" t="n">
        <v>46240</v>
      </c>
      <c r="B179" t="inlineStr">
        <is>
          <t>Meta</t>
        </is>
      </c>
      <c r="C179" t="inlineStr">
        <is>
          <t>STATIC | Bundle offer | v2</t>
        </is>
      </c>
      <c r="D179" t="inlineStr">
        <is>
          <t>Prospecting | Broad | EG</t>
        </is>
      </c>
      <c r="E179" t="inlineStr">
        <is>
          <t>Static-Bundle</t>
        </is>
      </c>
      <c r="F179" t="n">
        <v>649.64</v>
      </c>
      <c r="G179" s="20" t="n">
        <v>9763</v>
      </c>
      <c r="H179" s="21" t="n">
        <v>172</v>
      </c>
      <c r="I179" s="21" t="n">
        <v>3</v>
      </c>
      <c r="J179" s="21" t="n">
        <v>2085.12</v>
      </c>
    </row>
    <row r="180">
      <c r="A180" s="19" t="n">
        <v>46240</v>
      </c>
      <c r="B180" t="inlineStr">
        <is>
          <t>Meta</t>
        </is>
      </c>
      <c r="C180" t="inlineStr">
        <is>
          <t>VID | Founder story | v3</t>
        </is>
      </c>
      <c r="D180" t="inlineStr">
        <is>
          <t>Prospecting | Broad | EG</t>
        </is>
      </c>
      <c r="E180" t="inlineStr">
        <is>
          <t>UGC-Founder</t>
        </is>
      </c>
      <c r="F180" t="n">
        <v>382.96</v>
      </c>
      <c r="G180" s="20" t="n">
        <v>5755</v>
      </c>
      <c r="H180" s="21" t="n">
        <v>102</v>
      </c>
      <c r="I180" s="21" t="n">
        <v>1</v>
      </c>
      <c r="J180" s="21" t="n">
        <v>754.75</v>
      </c>
    </row>
    <row r="181">
      <c r="A181" s="19" t="n">
        <v>46240</v>
      </c>
      <c r="B181" t="inlineStr">
        <is>
          <t>Meta</t>
        </is>
      </c>
      <c r="C181" t="inlineStr">
        <is>
          <t>VID | Review compilation | v1</t>
        </is>
      </c>
      <c r="D181" t="inlineStr">
        <is>
          <t>Prospecting | Interest | EG</t>
        </is>
      </c>
      <c r="E181" t="inlineStr">
        <is>
          <t>UGC-Reviews</t>
        </is>
      </c>
      <c r="F181" t="n">
        <v>488.09</v>
      </c>
      <c r="G181" s="20" t="n">
        <v>7336</v>
      </c>
      <c r="H181" s="21" t="n">
        <v>129</v>
      </c>
      <c r="I181" s="21" t="n">
        <v>2</v>
      </c>
      <c r="J181" s="21" t="n">
        <v>1422.87</v>
      </c>
    </row>
    <row r="182">
      <c r="A182" s="19" t="n">
        <v>46240</v>
      </c>
      <c r="B182" t="inlineStr">
        <is>
          <t>Meta</t>
        </is>
      </c>
      <c r="C182" t="inlineStr">
        <is>
          <t>STATIC | Bundle offer | v1</t>
        </is>
      </c>
      <c r="D182" t="inlineStr">
        <is>
          <t>Test | Broad | EG</t>
        </is>
      </c>
      <c r="E182" t="inlineStr">
        <is>
          <t>Static-Bundle</t>
        </is>
      </c>
      <c r="F182" t="n">
        <v>289.39</v>
      </c>
      <c r="G182" s="20" t="n">
        <v>4349</v>
      </c>
      <c r="H182" s="21" t="n">
        <v>77</v>
      </c>
      <c r="I182" s="21" t="n">
        <v>1</v>
      </c>
      <c r="J182" s="21" t="n">
        <v>692.0700000000001</v>
      </c>
    </row>
    <row r="183">
      <c r="A183" s="19" t="n">
        <v>46240</v>
      </c>
      <c r="B183" t="inlineStr">
        <is>
          <t>Meta</t>
        </is>
      </c>
      <c r="C183" t="inlineStr">
        <is>
          <t>STATIC | Discount 20% | v1</t>
        </is>
      </c>
      <c r="D183" t="inlineStr">
        <is>
          <t>Retargeting | 7d IC</t>
        </is>
      </c>
      <c r="E183" t="inlineStr">
        <is>
          <t>Static-Discount</t>
        </is>
      </c>
      <c r="F183" t="n">
        <v>232.75</v>
      </c>
      <c r="G183" s="20" t="n">
        <v>3498</v>
      </c>
      <c r="H183" s="21" t="n">
        <v>62</v>
      </c>
      <c r="I183" s="21" t="n">
        <v>2</v>
      </c>
      <c r="J183" s="21" t="n">
        <v>1399.75</v>
      </c>
    </row>
    <row r="184">
      <c r="A184" s="19" t="n">
        <v>46240</v>
      </c>
      <c r="B184" t="inlineStr">
        <is>
          <t>Meta</t>
        </is>
      </c>
      <c r="C184" t="inlineStr">
        <is>
          <t>CAROUSEL | Best sellers</t>
        </is>
      </c>
      <c r="D184" t="inlineStr">
        <is>
          <t>Retargeting | 14d ATC</t>
        </is>
      </c>
      <c r="E184" t="inlineStr">
        <is>
          <t>Carousel-Bestsellers</t>
        </is>
      </c>
      <c r="F184" t="n">
        <v>173.91</v>
      </c>
      <c r="G184" s="20" t="n">
        <v>2614</v>
      </c>
      <c r="H184" s="21" t="n">
        <v>46</v>
      </c>
      <c r="I184" s="21" t="n">
        <v>2</v>
      </c>
      <c r="J184" s="21" t="n">
        <v>1366.4</v>
      </c>
    </row>
    <row r="185">
      <c r="A185" s="19" t="n">
        <v>46240</v>
      </c>
      <c r="B185" t="inlineStr">
        <is>
          <t>Meta</t>
        </is>
      </c>
      <c r="C185" t="inlineStr">
        <is>
          <t>VID | Founder story | v1</t>
        </is>
      </c>
      <c r="D185" t="inlineStr">
        <is>
          <t>Prospecting | Broad | EG</t>
        </is>
      </c>
      <c r="E185" t="inlineStr">
        <is>
          <t>UGC-Founder</t>
        </is>
      </c>
      <c r="F185" t="n">
        <v>154.48</v>
      </c>
      <c r="G185" s="20" t="n">
        <v>2322</v>
      </c>
      <c r="H185" s="21" t="n">
        <v>41</v>
      </c>
      <c r="I185" s="21" t="n">
        <v>0</v>
      </c>
      <c r="J185" s="21" t="n">
        <v>0</v>
      </c>
    </row>
    <row r="186">
      <c r="A186" s="19" t="n">
        <v>46241</v>
      </c>
      <c r="B186" t="inlineStr">
        <is>
          <t>Meta</t>
        </is>
      </c>
      <c r="C186" t="inlineStr">
        <is>
          <t>VID | Founder story | v4</t>
        </is>
      </c>
      <c r="D186" t="inlineStr">
        <is>
          <t>Prospecting | Broad | EG</t>
        </is>
      </c>
      <c r="E186" t="inlineStr">
        <is>
          <t>UGC-Founder</t>
        </is>
      </c>
      <c r="F186" t="n">
        <v>906.34</v>
      </c>
      <c r="G186" s="20" t="n">
        <v>12960</v>
      </c>
      <c r="H186" s="21" t="n">
        <v>203</v>
      </c>
      <c r="I186" s="21" t="n">
        <v>4</v>
      </c>
      <c r="J186" s="21" t="n">
        <v>2745.8</v>
      </c>
    </row>
    <row r="187">
      <c r="A187" s="19" t="n">
        <v>46241</v>
      </c>
      <c r="B187" t="inlineStr">
        <is>
          <t>Meta</t>
        </is>
      </c>
      <c r="C187" t="inlineStr">
        <is>
          <t>STATIC | Bundle offer | v2</t>
        </is>
      </c>
      <c r="D187" t="inlineStr">
        <is>
          <t>Prospecting | Broad | EG</t>
        </is>
      </c>
      <c r="E187" t="inlineStr">
        <is>
          <t>Static-Bundle</t>
        </is>
      </c>
      <c r="F187" t="n">
        <v>602.88</v>
      </c>
      <c r="G187" s="20" t="n">
        <v>8621</v>
      </c>
      <c r="H187" s="21" t="n">
        <v>135</v>
      </c>
      <c r="I187" s="21" t="n">
        <v>2</v>
      </c>
      <c r="J187" s="21" t="n">
        <v>1304.95</v>
      </c>
    </row>
    <row r="188">
      <c r="A188" s="19" t="n">
        <v>46241</v>
      </c>
      <c r="B188" t="inlineStr">
        <is>
          <t>Meta</t>
        </is>
      </c>
      <c r="C188" t="inlineStr">
        <is>
          <t>VID | Founder story | v3</t>
        </is>
      </c>
      <c r="D188" t="inlineStr">
        <is>
          <t>Prospecting | Broad | EG</t>
        </is>
      </c>
      <c r="E188" t="inlineStr">
        <is>
          <t>UGC-Founder</t>
        </is>
      </c>
      <c r="F188" t="n">
        <v>517.64</v>
      </c>
      <c r="G188" s="20" t="n">
        <v>7402</v>
      </c>
      <c r="H188" s="21" t="n">
        <v>116</v>
      </c>
      <c r="I188" s="21" t="n">
        <v>2</v>
      </c>
      <c r="J188" s="21" t="n">
        <v>1512.38</v>
      </c>
    </row>
    <row r="189">
      <c r="A189" s="19" t="n">
        <v>46241</v>
      </c>
      <c r="B189" t="inlineStr">
        <is>
          <t>Meta</t>
        </is>
      </c>
      <c r="C189" t="inlineStr">
        <is>
          <t>VID | Review compilation | v1</t>
        </is>
      </c>
      <c r="D189" t="inlineStr">
        <is>
          <t>Prospecting | Interest | EG</t>
        </is>
      </c>
      <c r="E189" t="inlineStr">
        <is>
          <t>UGC-Reviews</t>
        </is>
      </c>
      <c r="F189" t="n">
        <v>450</v>
      </c>
      <c r="G189" s="20" t="n">
        <v>6435</v>
      </c>
      <c r="H189" s="21" t="n">
        <v>101</v>
      </c>
      <c r="I189" s="21" t="n">
        <v>2</v>
      </c>
      <c r="J189" s="21" t="n">
        <v>1459.77</v>
      </c>
    </row>
    <row r="190">
      <c r="A190" s="19" t="n">
        <v>46241</v>
      </c>
      <c r="B190" t="inlineStr">
        <is>
          <t>Meta</t>
        </is>
      </c>
      <c r="C190" t="inlineStr">
        <is>
          <t>STATIC | Bundle offer | v1</t>
        </is>
      </c>
      <c r="D190" t="inlineStr">
        <is>
          <t>Test | Broad | EG</t>
        </is>
      </c>
      <c r="E190" t="inlineStr">
        <is>
          <t>Static-Bundle</t>
        </is>
      </c>
      <c r="F190" t="n">
        <v>320.18</v>
      </c>
      <c r="G190" s="20" t="n">
        <v>4578</v>
      </c>
      <c r="H190" s="21" t="n">
        <v>72</v>
      </c>
      <c r="I190" s="21" t="n">
        <v>1</v>
      </c>
      <c r="J190" s="21" t="n">
        <v>677.64</v>
      </c>
    </row>
    <row r="191">
      <c r="A191" s="19" t="n">
        <v>46241</v>
      </c>
      <c r="B191" t="inlineStr">
        <is>
          <t>Meta</t>
        </is>
      </c>
      <c r="C191" t="inlineStr">
        <is>
          <t>STATIC | Discount 20% | v1</t>
        </is>
      </c>
      <c r="D191" t="inlineStr">
        <is>
          <t>Retargeting | 7d IC</t>
        </is>
      </c>
      <c r="E191" t="inlineStr">
        <is>
          <t>Static-Discount</t>
        </is>
      </c>
      <c r="F191" t="n">
        <v>241.03</v>
      </c>
      <c r="G191" s="20" t="n">
        <v>3447</v>
      </c>
      <c r="H191" s="21" t="n">
        <v>54</v>
      </c>
      <c r="I191" s="21" t="n">
        <v>2</v>
      </c>
      <c r="J191" s="21" t="n">
        <v>1437.73</v>
      </c>
    </row>
    <row r="192">
      <c r="A192" s="19" t="n">
        <v>46241</v>
      </c>
      <c r="B192" t="inlineStr">
        <is>
          <t>Meta</t>
        </is>
      </c>
      <c r="C192" t="inlineStr">
        <is>
          <t>CAROUSEL | Best sellers</t>
        </is>
      </c>
      <c r="D192" t="inlineStr">
        <is>
          <t>Retargeting | 14d ATC</t>
        </is>
      </c>
      <c r="E192" t="inlineStr">
        <is>
          <t>Carousel-Bestsellers</t>
        </is>
      </c>
      <c r="F192" t="n">
        <v>178.19</v>
      </c>
      <c r="G192" s="20" t="n">
        <v>2548</v>
      </c>
      <c r="H192" s="21" t="n">
        <v>40</v>
      </c>
      <c r="I192" s="21" t="n">
        <v>2</v>
      </c>
      <c r="J192" s="21" t="n">
        <v>1570.63</v>
      </c>
    </row>
    <row r="193">
      <c r="A193" s="19" t="n">
        <v>46241</v>
      </c>
      <c r="B193" t="inlineStr">
        <is>
          <t>Meta</t>
        </is>
      </c>
      <c r="C193" t="inlineStr">
        <is>
          <t>VID | Founder story | v1</t>
        </is>
      </c>
      <c r="D193" t="inlineStr">
        <is>
          <t>Prospecting | Broad | EG</t>
        </is>
      </c>
      <c r="E193" t="inlineStr">
        <is>
          <t>UGC-Founder</t>
        </is>
      </c>
      <c r="F193" t="n">
        <v>127.82</v>
      </c>
      <c r="G193" s="20" t="n">
        <v>1828</v>
      </c>
      <c r="H193" s="21" t="n">
        <v>29</v>
      </c>
      <c r="I193" s="21" t="n">
        <v>0</v>
      </c>
      <c r="J193" s="21" t="n">
        <v>0</v>
      </c>
    </row>
    <row r="194">
      <c r="A194" s="19" t="n">
        <v>46242</v>
      </c>
      <c r="B194" t="inlineStr">
        <is>
          <t>Meta</t>
        </is>
      </c>
      <c r="C194" t="inlineStr">
        <is>
          <t>VID | Founder story | v4</t>
        </is>
      </c>
      <c r="D194" t="inlineStr">
        <is>
          <t>Prospecting | Broad | EG</t>
        </is>
      </c>
      <c r="E194" t="inlineStr">
        <is>
          <t>UGC-Founder</t>
        </is>
      </c>
      <c r="F194" t="n">
        <v>1009.82</v>
      </c>
      <c r="G194" s="20" t="n">
        <v>14322</v>
      </c>
      <c r="H194" s="21" t="n">
        <v>259</v>
      </c>
      <c r="I194" s="21" t="n">
        <v>5</v>
      </c>
      <c r="J194" s="21" t="n">
        <v>3192.71</v>
      </c>
    </row>
    <row r="195">
      <c r="A195" s="19" t="n">
        <v>46242</v>
      </c>
      <c r="B195" t="inlineStr">
        <is>
          <t>Meta</t>
        </is>
      </c>
      <c r="C195" t="inlineStr">
        <is>
          <t>STATIC | Bundle offer | v2</t>
        </is>
      </c>
      <c r="D195" t="inlineStr">
        <is>
          <t>Prospecting | Broad | EG</t>
        </is>
      </c>
      <c r="E195" t="inlineStr">
        <is>
          <t>Static-Bundle</t>
        </is>
      </c>
      <c r="F195" t="n">
        <v>601.9299999999999</v>
      </c>
      <c r="G195" s="20" t="n">
        <v>8537</v>
      </c>
      <c r="H195" s="21" t="n">
        <v>154</v>
      </c>
      <c r="I195" s="21" t="n">
        <v>2</v>
      </c>
      <c r="J195" s="21" t="n">
        <v>1406.19</v>
      </c>
    </row>
    <row r="196">
      <c r="A196" s="19" t="n">
        <v>46242</v>
      </c>
      <c r="B196" t="inlineStr">
        <is>
          <t>Meta</t>
        </is>
      </c>
      <c r="C196" t="inlineStr">
        <is>
          <t>VID | Founder story | v3</t>
        </is>
      </c>
      <c r="D196" t="inlineStr">
        <is>
          <t>Prospecting | Broad | EG</t>
        </is>
      </c>
      <c r="E196" t="inlineStr">
        <is>
          <t>UGC-Founder</t>
        </is>
      </c>
      <c r="F196" t="n">
        <v>460.13</v>
      </c>
      <c r="G196" s="20" t="n">
        <v>6526</v>
      </c>
      <c r="H196" s="21" t="n">
        <v>118</v>
      </c>
      <c r="I196" s="21" t="n">
        <v>2</v>
      </c>
      <c r="J196" s="21" t="n">
        <v>1373.08</v>
      </c>
    </row>
    <row r="197">
      <c r="A197" s="19" t="n">
        <v>46242</v>
      </c>
      <c r="B197" t="inlineStr">
        <is>
          <t>Meta</t>
        </is>
      </c>
      <c r="C197" t="inlineStr">
        <is>
          <t>VID | Review compilation | v1</t>
        </is>
      </c>
      <c r="D197" t="inlineStr">
        <is>
          <t>Prospecting | Interest | EG</t>
        </is>
      </c>
      <c r="E197" t="inlineStr">
        <is>
          <t>UGC-Reviews</t>
        </is>
      </c>
      <c r="F197" t="n">
        <v>507.08</v>
      </c>
      <c r="G197" s="20" t="n">
        <v>7192</v>
      </c>
      <c r="H197" s="21" t="n">
        <v>130</v>
      </c>
      <c r="I197" s="21" t="n">
        <v>2</v>
      </c>
      <c r="J197" s="21" t="n">
        <v>1354.42</v>
      </c>
    </row>
    <row r="198">
      <c r="A198" s="19" t="n">
        <v>46242</v>
      </c>
      <c r="B198" t="inlineStr">
        <is>
          <t>Meta</t>
        </is>
      </c>
      <c r="C198" t="inlineStr">
        <is>
          <t>STATIC | Bundle offer | v1</t>
        </is>
      </c>
      <c r="D198" t="inlineStr">
        <is>
          <t>Test | Broad | EG</t>
        </is>
      </c>
      <c r="E198" t="inlineStr">
        <is>
          <t>Static-Bundle</t>
        </is>
      </c>
      <c r="F198" t="n">
        <v>297.36</v>
      </c>
      <c r="G198" s="20" t="n">
        <v>4217</v>
      </c>
      <c r="H198" s="21" t="n">
        <v>76</v>
      </c>
      <c r="I198" s="21" t="n">
        <v>1</v>
      </c>
      <c r="J198" s="21" t="n">
        <v>646.72</v>
      </c>
    </row>
    <row r="199">
      <c r="A199" s="19" t="n">
        <v>46242</v>
      </c>
      <c r="B199" t="inlineStr">
        <is>
          <t>Meta</t>
        </is>
      </c>
      <c r="C199" t="inlineStr">
        <is>
          <t>STATIC | Discount 20% | v1</t>
        </is>
      </c>
      <c r="D199" t="inlineStr">
        <is>
          <t>Retargeting | 7d IC</t>
        </is>
      </c>
      <c r="E199" t="inlineStr">
        <is>
          <t>Static-Discount</t>
        </is>
      </c>
      <c r="F199" t="n">
        <v>256.53</v>
      </c>
      <c r="G199" s="20" t="n">
        <v>3638</v>
      </c>
      <c r="H199" s="21" t="n">
        <v>66</v>
      </c>
      <c r="I199" s="21" t="n">
        <v>2</v>
      </c>
      <c r="J199" s="21" t="n">
        <v>1278.36</v>
      </c>
    </row>
    <row r="200">
      <c r="A200" s="19" t="n">
        <v>46242</v>
      </c>
      <c r="B200" t="inlineStr">
        <is>
          <t>Meta</t>
        </is>
      </c>
      <c r="C200" t="inlineStr">
        <is>
          <t>CAROUSEL | Best sellers</t>
        </is>
      </c>
      <c r="D200" t="inlineStr">
        <is>
          <t>Retargeting | 14d ATC</t>
        </is>
      </c>
      <c r="E200" t="inlineStr">
        <is>
          <t>Carousel-Bestsellers</t>
        </is>
      </c>
      <c r="F200" t="n">
        <v>189.3</v>
      </c>
      <c r="G200" s="20" t="n">
        <v>2685</v>
      </c>
      <c r="H200" s="21" t="n">
        <v>49</v>
      </c>
      <c r="I200" s="21" t="n">
        <v>2</v>
      </c>
      <c r="J200" s="21" t="n">
        <v>1201.05</v>
      </c>
    </row>
    <row r="201">
      <c r="A201" s="19" t="n">
        <v>46242</v>
      </c>
      <c r="B201" t="inlineStr">
        <is>
          <t>Meta</t>
        </is>
      </c>
      <c r="C201" t="inlineStr">
        <is>
          <t>VID | Founder story | v1</t>
        </is>
      </c>
      <c r="D201" t="inlineStr">
        <is>
          <t>Prospecting | Broad | EG</t>
        </is>
      </c>
      <c r="E201" t="inlineStr">
        <is>
          <t>UGC-Founder</t>
        </is>
      </c>
      <c r="F201" t="n">
        <v>164.12</v>
      </c>
      <c r="G201" s="20" t="n">
        <v>2328</v>
      </c>
      <c r="H201" s="21" t="n">
        <v>42</v>
      </c>
      <c r="I201" s="21" t="n">
        <v>0</v>
      </c>
      <c r="J201" s="21" t="n">
        <v>0</v>
      </c>
    </row>
    <row r="202">
      <c r="A202" s="19" t="n">
        <v>46243</v>
      </c>
      <c r="B202" t="inlineStr">
        <is>
          <t>Meta</t>
        </is>
      </c>
      <c r="C202" t="inlineStr">
        <is>
          <t>VID | Founder story | v4</t>
        </is>
      </c>
      <c r="D202" t="inlineStr">
        <is>
          <t>Prospecting | Broad | EG</t>
        </is>
      </c>
      <c r="E202" t="inlineStr">
        <is>
          <t>UGC-Founder</t>
        </is>
      </c>
      <c r="F202" t="n">
        <v>810.4</v>
      </c>
      <c r="G202" s="20" t="n">
        <v>11990</v>
      </c>
      <c r="H202" s="21" t="n">
        <v>216</v>
      </c>
      <c r="I202" s="21" t="n">
        <v>4</v>
      </c>
      <c r="J202" s="21" t="n">
        <v>2868.07</v>
      </c>
    </row>
    <row r="203">
      <c r="A203" s="19" t="n">
        <v>46243</v>
      </c>
      <c r="B203" t="inlineStr">
        <is>
          <t>Meta</t>
        </is>
      </c>
      <c r="C203" t="inlineStr">
        <is>
          <t>STATIC | Bundle offer | v2</t>
        </is>
      </c>
      <c r="D203" t="inlineStr">
        <is>
          <t>Prospecting | Broad | EG</t>
        </is>
      </c>
      <c r="E203" t="inlineStr">
        <is>
          <t>Static-Bundle</t>
        </is>
      </c>
      <c r="F203" t="n">
        <v>664.9400000000001</v>
      </c>
      <c r="G203" s="20" t="n">
        <v>9838</v>
      </c>
      <c r="H203" s="21" t="n">
        <v>177</v>
      </c>
      <c r="I203" s="21" t="n">
        <v>3</v>
      </c>
      <c r="J203" s="21" t="n">
        <v>2133.19</v>
      </c>
    </row>
    <row r="204">
      <c r="A204" s="19" t="n">
        <v>46243</v>
      </c>
      <c r="B204" t="inlineStr">
        <is>
          <t>Meta</t>
        </is>
      </c>
      <c r="C204" t="inlineStr">
        <is>
          <t>VID | Founder story | v3</t>
        </is>
      </c>
      <c r="D204" t="inlineStr">
        <is>
          <t>Prospecting | Broad | EG</t>
        </is>
      </c>
      <c r="E204" t="inlineStr">
        <is>
          <t>UGC-Founder</t>
        </is>
      </c>
      <c r="F204" t="n">
        <v>430.99</v>
      </c>
      <c r="G204" s="20" t="n">
        <v>6376</v>
      </c>
      <c r="H204" s="21" t="n">
        <v>115</v>
      </c>
      <c r="I204" s="21" t="n">
        <v>1</v>
      </c>
      <c r="J204" s="21" t="n">
        <v>718.6900000000001</v>
      </c>
    </row>
    <row r="205">
      <c r="A205" s="19" t="n">
        <v>46243</v>
      </c>
      <c r="B205" t="inlineStr">
        <is>
          <t>Meta</t>
        </is>
      </c>
      <c r="C205" t="inlineStr">
        <is>
          <t>VID | Review compilation | v1</t>
        </is>
      </c>
      <c r="D205" t="inlineStr">
        <is>
          <t>Prospecting | Interest | EG</t>
        </is>
      </c>
      <c r="E205" t="inlineStr">
        <is>
          <t>UGC-Reviews</t>
        </is>
      </c>
      <c r="F205" t="n">
        <v>418.11</v>
      </c>
      <c r="G205" s="20" t="n">
        <v>6186</v>
      </c>
      <c r="H205" s="21" t="n">
        <v>111</v>
      </c>
      <c r="I205" s="21" t="n">
        <v>2</v>
      </c>
      <c r="J205" s="21" t="n">
        <v>1487.27</v>
      </c>
    </row>
    <row r="206">
      <c r="A206" s="19" t="n">
        <v>46243</v>
      </c>
      <c r="B206" t="inlineStr">
        <is>
          <t>Meta</t>
        </is>
      </c>
      <c r="C206" t="inlineStr">
        <is>
          <t>STATIC | Bundle offer | v1</t>
        </is>
      </c>
      <c r="D206" t="inlineStr">
        <is>
          <t>Test | Broad | EG</t>
        </is>
      </c>
      <c r="E206" t="inlineStr">
        <is>
          <t>Static-Bundle</t>
        </is>
      </c>
      <c r="F206" t="n">
        <v>271.41</v>
      </c>
      <c r="G206" s="20" t="n">
        <v>4015</v>
      </c>
      <c r="H206" s="21" t="n">
        <v>72</v>
      </c>
      <c r="I206" s="21" t="n">
        <v>1</v>
      </c>
      <c r="J206" s="21" t="n">
        <v>698.36</v>
      </c>
    </row>
    <row r="207">
      <c r="A207" s="19" t="n">
        <v>46243</v>
      </c>
      <c r="B207" t="inlineStr">
        <is>
          <t>Meta</t>
        </is>
      </c>
      <c r="C207" t="inlineStr">
        <is>
          <t>STATIC | Discount 20% | v1</t>
        </is>
      </c>
      <c r="D207" t="inlineStr">
        <is>
          <t>Retargeting | 7d IC</t>
        </is>
      </c>
      <c r="E207" t="inlineStr">
        <is>
          <t>Static-Discount</t>
        </is>
      </c>
      <c r="F207" t="n">
        <v>284.84</v>
      </c>
      <c r="G207" s="20" t="n">
        <v>4214</v>
      </c>
      <c r="H207" s="21" t="n">
        <v>76</v>
      </c>
      <c r="I207" s="21" t="n">
        <v>2</v>
      </c>
      <c r="J207" s="21" t="n">
        <v>1483.18</v>
      </c>
    </row>
    <row r="208">
      <c r="A208" s="19" t="n">
        <v>46243</v>
      </c>
      <c r="B208" t="inlineStr">
        <is>
          <t>Meta</t>
        </is>
      </c>
      <c r="C208" t="inlineStr">
        <is>
          <t>CAROUSEL | Best sellers</t>
        </is>
      </c>
      <c r="D208" t="inlineStr">
        <is>
          <t>Retargeting | 14d ATC</t>
        </is>
      </c>
      <c r="E208" t="inlineStr">
        <is>
          <t>Carousel-Bestsellers</t>
        </is>
      </c>
      <c r="F208" t="n">
        <v>200.98</v>
      </c>
      <c r="G208" s="20" t="n">
        <v>2973</v>
      </c>
      <c r="H208" s="21" t="n">
        <v>54</v>
      </c>
      <c r="I208" s="21" t="n">
        <v>2</v>
      </c>
      <c r="J208" s="21" t="n">
        <v>1428.43</v>
      </c>
    </row>
    <row r="209">
      <c r="A209" s="19" t="n">
        <v>46243</v>
      </c>
      <c r="B209" t="inlineStr">
        <is>
          <t>Meta</t>
        </is>
      </c>
      <c r="C209" t="inlineStr">
        <is>
          <t>VID | Founder story | v1</t>
        </is>
      </c>
      <c r="D209" t="inlineStr">
        <is>
          <t>Prospecting | Broad | EG</t>
        </is>
      </c>
      <c r="E209" t="inlineStr">
        <is>
          <t>UGC-Founder</t>
        </is>
      </c>
      <c r="F209" t="n">
        <v>152.1</v>
      </c>
      <c r="G209" s="20" t="n">
        <v>2250</v>
      </c>
      <c r="H209" s="21" t="n">
        <v>40</v>
      </c>
      <c r="I209" s="21" t="n">
        <v>0</v>
      </c>
      <c r="J209" s="21" t="n">
        <v>0</v>
      </c>
    </row>
    <row r="210">
      <c r="A210" s="19" t="n">
        <v>46244</v>
      </c>
      <c r="B210" t="inlineStr">
        <is>
          <t>Meta</t>
        </is>
      </c>
      <c r="C210" t="inlineStr">
        <is>
          <t>VID | Founder story | v4</t>
        </is>
      </c>
      <c r="D210" t="inlineStr">
        <is>
          <t>Prospecting | Broad | EG</t>
        </is>
      </c>
      <c r="E210" t="inlineStr">
        <is>
          <t>UGC-Founder</t>
        </is>
      </c>
      <c r="F210" t="n">
        <v>946.99</v>
      </c>
      <c r="G210" s="20" t="n">
        <v>13650</v>
      </c>
      <c r="H210" s="21" t="n">
        <v>213</v>
      </c>
      <c r="I210" s="21" t="n">
        <v>5</v>
      </c>
      <c r="J210" s="21" t="n">
        <v>3415.16</v>
      </c>
    </row>
    <row r="211">
      <c r="A211" s="19" t="n">
        <v>46244</v>
      </c>
      <c r="B211" t="inlineStr">
        <is>
          <t>Meta</t>
        </is>
      </c>
      <c r="C211" t="inlineStr">
        <is>
          <t>STATIC | Bundle offer | v2</t>
        </is>
      </c>
      <c r="D211" t="inlineStr">
        <is>
          <t>Prospecting | Broad | EG</t>
        </is>
      </c>
      <c r="E211" t="inlineStr">
        <is>
          <t>Static-Bundle</t>
        </is>
      </c>
      <c r="F211" t="n">
        <v>560.74</v>
      </c>
      <c r="G211" s="20" t="n">
        <v>8083</v>
      </c>
      <c r="H211" s="21" t="n">
        <v>126</v>
      </c>
      <c r="I211" s="21" t="n">
        <v>2</v>
      </c>
      <c r="J211" s="21" t="n">
        <v>1373.79</v>
      </c>
    </row>
    <row r="212">
      <c r="A212" s="19" t="n">
        <v>46244</v>
      </c>
      <c r="B212" t="inlineStr">
        <is>
          <t>Meta</t>
        </is>
      </c>
      <c r="C212" t="inlineStr">
        <is>
          <t>VID | Founder story | v3</t>
        </is>
      </c>
      <c r="D212" t="inlineStr">
        <is>
          <t>Prospecting | Broad | EG</t>
        </is>
      </c>
      <c r="E212" t="inlineStr">
        <is>
          <t>UGC-Founder</t>
        </is>
      </c>
      <c r="F212" t="n">
        <v>382.9</v>
      </c>
      <c r="G212" s="20" t="n">
        <v>5519</v>
      </c>
      <c r="H212" s="21" t="n">
        <v>86</v>
      </c>
      <c r="I212" s="21" t="n">
        <v>1</v>
      </c>
      <c r="J212" s="21" t="n">
        <v>645.46</v>
      </c>
    </row>
    <row r="213">
      <c r="A213" s="19" t="n">
        <v>46244</v>
      </c>
      <c r="B213" t="inlineStr">
        <is>
          <t>Meta</t>
        </is>
      </c>
      <c r="C213" t="inlineStr">
        <is>
          <t>VID | Review compilation | v1</t>
        </is>
      </c>
      <c r="D213" t="inlineStr">
        <is>
          <t>Prospecting | Interest | EG</t>
        </is>
      </c>
      <c r="E213" t="inlineStr">
        <is>
          <t>UGC-Reviews</t>
        </is>
      </c>
      <c r="F213" t="n">
        <v>472.63</v>
      </c>
      <c r="G213" s="20" t="n">
        <v>6813</v>
      </c>
      <c r="H213" s="21" t="n">
        <v>106</v>
      </c>
      <c r="I213" s="21" t="n">
        <v>2</v>
      </c>
      <c r="J213" s="21" t="n">
        <v>1374.33</v>
      </c>
    </row>
    <row r="214">
      <c r="A214" s="19" t="n">
        <v>46244</v>
      </c>
      <c r="B214" t="inlineStr">
        <is>
          <t>Meta</t>
        </is>
      </c>
      <c r="C214" t="inlineStr">
        <is>
          <t>STATIC | Bundle offer | v1</t>
        </is>
      </c>
      <c r="D214" t="inlineStr">
        <is>
          <t>Test | Broad | EG</t>
        </is>
      </c>
      <c r="E214" t="inlineStr">
        <is>
          <t>Static-Bundle</t>
        </is>
      </c>
      <c r="F214" t="n">
        <v>260.67</v>
      </c>
      <c r="G214" s="20" t="n">
        <v>3757</v>
      </c>
      <c r="H214" s="21" t="n">
        <v>59</v>
      </c>
      <c r="I214" s="21" t="n">
        <v>1</v>
      </c>
      <c r="J214" s="21" t="n">
        <v>618.54</v>
      </c>
    </row>
    <row r="215">
      <c r="A215" s="19" t="n">
        <v>46244</v>
      </c>
      <c r="B215" t="inlineStr">
        <is>
          <t>Meta</t>
        </is>
      </c>
      <c r="C215" t="inlineStr">
        <is>
          <t>STATIC | Discount 20% | v1</t>
        </is>
      </c>
      <c r="D215" t="inlineStr">
        <is>
          <t>Retargeting | 7d IC</t>
        </is>
      </c>
      <c r="E215" t="inlineStr">
        <is>
          <t>Static-Discount</t>
        </is>
      </c>
      <c r="F215" t="n">
        <v>220.47</v>
      </c>
      <c r="G215" s="20" t="n">
        <v>3178</v>
      </c>
      <c r="H215" s="21" t="n">
        <v>50</v>
      </c>
      <c r="I215" s="21" t="n">
        <v>2</v>
      </c>
      <c r="J215" s="21" t="n">
        <v>1308.27</v>
      </c>
    </row>
    <row r="216">
      <c r="A216" s="19" t="n">
        <v>46244</v>
      </c>
      <c r="B216" t="inlineStr">
        <is>
          <t>Meta</t>
        </is>
      </c>
      <c r="C216" t="inlineStr">
        <is>
          <t>CAROUSEL | Best sellers</t>
        </is>
      </c>
      <c r="D216" t="inlineStr">
        <is>
          <t>Retargeting | 14d ATC</t>
        </is>
      </c>
      <c r="E216" t="inlineStr">
        <is>
          <t>Carousel-Bestsellers</t>
        </is>
      </c>
      <c r="F216" t="n">
        <v>137.13</v>
      </c>
      <c r="G216" s="20" t="n">
        <v>1977</v>
      </c>
      <c r="H216" s="21" t="n">
        <v>31</v>
      </c>
      <c r="I216" s="21" t="n">
        <v>1</v>
      </c>
      <c r="J216" s="21" t="n">
        <v>630.1900000000001</v>
      </c>
    </row>
    <row r="217">
      <c r="A217" s="19" t="n">
        <v>46244</v>
      </c>
      <c r="B217" t="inlineStr">
        <is>
          <t>Meta</t>
        </is>
      </c>
      <c r="C217" t="inlineStr">
        <is>
          <t>VID | Founder story | v1</t>
        </is>
      </c>
      <c r="D217" t="inlineStr">
        <is>
          <t>Prospecting | Broad | EG</t>
        </is>
      </c>
      <c r="E217" t="inlineStr">
        <is>
          <t>UGC-Founder</t>
        </is>
      </c>
      <c r="F217" t="n">
        <v>124.44</v>
      </c>
      <c r="G217" s="20" t="n">
        <v>1794</v>
      </c>
      <c r="H217" s="21" t="n">
        <v>28</v>
      </c>
      <c r="I217" s="21" t="n">
        <v>0</v>
      </c>
      <c r="J217" s="21" t="n">
        <v>0</v>
      </c>
    </row>
    <row r="218">
      <c r="A218" s="19" t="n">
        <v>46245</v>
      </c>
      <c r="B218" t="inlineStr">
        <is>
          <t>Meta</t>
        </is>
      </c>
      <c r="C218" t="inlineStr">
        <is>
          <t>VID | Founder story | v4</t>
        </is>
      </c>
      <c r="D218" t="inlineStr">
        <is>
          <t>Prospecting | Broad | EG</t>
        </is>
      </c>
      <c r="E218" t="inlineStr">
        <is>
          <t>UGC-Founder</t>
        </is>
      </c>
      <c r="F218" t="n">
        <v>823.86</v>
      </c>
      <c r="G218" s="20" t="n">
        <v>11651</v>
      </c>
      <c r="H218" s="21" t="n">
        <v>184</v>
      </c>
      <c r="I218" s="21" t="n">
        <v>3</v>
      </c>
      <c r="J218" s="21" t="n">
        <v>2321.07</v>
      </c>
    </row>
    <row r="219">
      <c r="A219" s="19" t="n">
        <v>46245</v>
      </c>
      <c r="B219" t="inlineStr">
        <is>
          <t>Meta</t>
        </is>
      </c>
      <c r="C219" t="inlineStr">
        <is>
          <t>STATIC | Bundle offer | v2</t>
        </is>
      </c>
      <c r="D219" t="inlineStr">
        <is>
          <t>Prospecting | Broad | EG</t>
        </is>
      </c>
      <c r="E219" t="inlineStr">
        <is>
          <t>Static-Bundle</t>
        </is>
      </c>
      <c r="F219" t="n">
        <v>545.58</v>
      </c>
      <c r="G219" s="20" t="n">
        <v>7715</v>
      </c>
      <c r="H219" s="21" t="n">
        <v>122</v>
      </c>
      <c r="I219" s="21" t="n">
        <v>2</v>
      </c>
      <c r="J219" s="21" t="n">
        <v>1595.77</v>
      </c>
    </row>
    <row r="220">
      <c r="A220" s="19" t="n">
        <v>46245</v>
      </c>
      <c r="B220" t="inlineStr">
        <is>
          <t>Meta</t>
        </is>
      </c>
      <c r="C220" t="inlineStr">
        <is>
          <t>VID | Founder story | v3</t>
        </is>
      </c>
      <c r="D220" t="inlineStr">
        <is>
          <t>Prospecting | Broad | EG</t>
        </is>
      </c>
      <c r="E220" t="inlineStr">
        <is>
          <t>UGC-Founder</t>
        </is>
      </c>
      <c r="F220" t="n">
        <v>449.55</v>
      </c>
      <c r="G220" s="20" t="n">
        <v>6357</v>
      </c>
      <c r="H220" s="21" t="n">
        <v>101</v>
      </c>
      <c r="I220" s="21" t="n">
        <v>1</v>
      </c>
      <c r="J220" s="21" t="n">
        <v>725.26</v>
      </c>
    </row>
    <row r="221">
      <c r="A221" s="19" t="n">
        <v>46245</v>
      </c>
      <c r="B221" t="inlineStr">
        <is>
          <t>Meta</t>
        </is>
      </c>
      <c r="C221" t="inlineStr">
        <is>
          <t>VID | Review compilation | v1</t>
        </is>
      </c>
      <c r="D221" t="inlineStr">
        <is>
          <t>Prospecting | Interest | EG</t>
        </is>
      </c>
      <c r="E221" t="inlineStr">
        <is>
          <t>UGC-Reviews</t>
        </is>
      </c>
      <c r="F221" t="n">
        <v>439.32</v>
      </c>
      <c r="G221" s="20" t="n">
        <v>6213</v>
      </c>
      <c r="H221" s="21" t="n">
        <v>98</v>
      </c>
      <c r="I221" s="21" t="n">
        <v>1</v>
      </c>
      <c r="J221" s="21" t="n">
        <v>715.86</v>
      </c>
    </row>
    <row r="222">
      <c r="A222" s="19" t="n">
        <v>46245</v>
      </c>
      <c r="B222" t="inlineStr">
        <is>
          <t>Meta</t>
        </is>
      </c>
      <c r="C222" t="inlineStr">
        <is>
          <t>STATIC | Bundle offer | v1</t>
        </is>
      </c>
      <c r="D222" t="inlineStr">
        <is>
          <t>Test | Broad | EG</t>
        </is>
      </c>
      <c r="E222" t="inlineStr">
        <is>
          <t>Static-Bundle</t>
        </is>
      </c>
      <c r="F222" t="n">
        <v>326.57</v>
      </c>
      <c r="G222" s="20" t="n">
        <v>4618</v>
      </c>
      <c r="H222" s="21" t="n">
        <v>73</v>
      </c>
      <c r="I222" s="21" t="n">
        <v>1</v>
      </c>
      <c r="J222" s="21" t="n">
        <v>813.55</v>
      </c>
    </row>
    <row r="223">
      <c r="A223" s="19" t="n">
        <v>46245</v>
      </c>
      <c r="B223" t="inlineStr">
        <is>
          <t>Meta</t>
        </is>
      </c>
      <c r="C223" t="inlineStr">
        <is>
          <t>STATIC | Discount 20% | v1</t>
        </is>
      </c>
      <c r="D223" t="inlineStr">
        <is>
          <t>Retargeting | 7d IC</t>
        </is>
      </c>
      <c r="E223" t="inlineStr">
        <is>
          <t>Static-Discount</t>
        </is>
      </c>
      <c r="F223" t="n">
        <v>267.66</v>
      </c>
      <c r="G223" s="20" t="n">
        <v>3785</v>
      </c>
      <c r="H223" s="21" t="n">
        <v>60</v>
      </c>
      <c r="I223" s="21" t="n">
        <v>1</v>
      </c>
      <c r="J223" s="21" t="n">
        <v>689.66</v>
      </c>
    </row>
    <row r="224">
      <c r="A224" s="19" t="n">
        <v>46245</v>
      </c>
      <c r="B224" t="inlineStr">
        <is>
          <t>Meta</t>
        </is>
      </c>
      <c r="C224" t="inlineStr">
        <is>
          <t>CAROUSEL | Best sellers</t>
        </is>
      </c>
      <c r="D224" t="inlineStr">
        <is>
          <t>Retargeting | 14d ATC</t>
        </is>
      </c>
      <c r="E224" t="inlineStr">
        <is>
          <t>Carousel-Bestsellers</t>
        </is>
      </c>
      <c r="F224" t="n">
        <v>199.69</v>
      </c>
      <c r="G224" s="20" t="n">
        <v>2824</v>
      </c>
      <c r="H224" s="21" t="n">
        <v>45</v>
      </c>
      <c r="I224" s="21" t="n">
        <v>1</v>
      </c>
      <c r="J224" s="21" t="n">
        <v>774.9</v>
      </c>
    </row>
    <row r="225">
      <c r="A225" s="19" t="n">
        <v>46245</v>
      </c>
      <c r="B225" t="inlineStr">
        <is>
          <t>Meta</t>
        </is>
      </c>
      <c r="C225" t="inlineStr">
        <is>
          <t>VID | Founder story | v1</t>
        </is>
      </c>
      <c r="D225" t="inlineStr">
        <is>
          <t>Prospecting | Broad | EG</t>
        </is>
      </c>
      <c r="E225" t="inlineStr">
        <is>
          <t>UGC-Founder</t>
        </is>
      </c>
      <c r="F225" t="n">
        <v>155.61</v>
      </c>
      <c r="G225" s="20" t="n">
        <v>2201</v>
      </c>
      <c r="H225" s="21" t="n">
        <v>35</v>
      </c>
      <c r="I225" s="21" t="n">
        <v>0</v>
      </c>
      <c r="J225" s="21" t="n">
        <v>0</v>
      </c>
    </row>
    <row r="226">
      <c r="A226" s="19" t="n">
        <v>46246</v>
      </c>
      <c r="B226" t="inlineStr">
        <is>
          <t>Meta</t>
        </is>
      </c>
      <c r="C226" t="inlineStr">
        <is>
          <t>VID | Founder story | v4</t>
        </is>
      </c>
      <c r="D226" t="inlineStr">
        <is>
          <t>Prospecting | Broad | EG</t>
        </is>
      </c>
      <c r="E226" t="inlineStr">
        <is>
          <t>UGC-Founder</t>
        </is>
      </c>
      <c r="F226" t="n">
        <v>781.21</v>
      </c>
      <c r="G226" s="20" t="n">
        <v>11276</v>
      </c>
      <c r="H226" s="21" t="n">
        <v>184</v>
      </c>
      <c r="I226" s="21" t="n">
        <v>5</v>
      </c>
      <c r="J226" s="21" t="n">
        <v>3433.7</v>
      </c>
    </row>
    <row r="227">
      <c r="A227" s="19" t="n">
        <v>46246</v>
      </c>
      <c r="B227" t="inlineStr">
        <is>
          <t>Meta</t>
        </is>
      </c>
      <c r="C227" t="inlineStr">
        <is>
          <t>STATIC | Bundle offer | v2</t>
        </is>
      </c>
      <c r="D227" t="inlineStr">
        <is>
          <t>Prospecting | Broad | EG</t>
        </is>
      </c>
      <c r="E227" t="inlineStr">
        <is>
          <t>Static-Bundle</t>
        </is>
      </c>
      <c r="F227" t="n">
        <v>664.08</v>
      </c>
      <c r="G227" s="20" t="n">
        <v>9585</v>
      </c>
      <c r="H227" s="21" t="n">
        <v>156</v>
      </c>
      <c r="I227" s="21" t="n">
        <v>3</v>
      </c>
      <c r="J227" s="21" t="n">
        <v>2196.31</v>
      </c>
    </row>
    <row r="228">
      <c r="A228" s="19" t="n">
        <v>46246</v>
      </c>
      <c r="B228" t="inlineStr">
        <is>
          <t>Meta</t>
        </is>
      </c>
      <c r="C228" t="inlineStr">
        <is>
          <t>VID | Founder story | v3</t>
        </is>
      </c>
      <c r="D228" t="inlineStr">
        <is>
          <t>Prospecting | Broad | EG</t>
        </is>
      </c>
      <c r="E228" t="inlineStr">
        <is>
          <t>UGC-Founder</t>
        </is>
      </c>
      <c r="F228" t="n">
        <v>505.75</v>
      </c>
      <c r="G228" s="20" t="n">
        <v>7300</v>
      </c>
      <c r="H228" s="21" t="n">
        <v>119</v>
      </c>
      <c r="I228" s="21" t="n">
        <v>2</v>
      </c>
      <c r="J228" s="21" t="n">
        <v>1455.9</v>
      </c>
    </row>
    <row r="229">
      <c r="A229" s="19" t="n">
        <v>46246</v>
      </c>
      <c r="B229" t="inlineStr">
        <is>
          <t>Meta</t>
        </is>
      </c>
      <c r="C229" t="inlineStr">
        <is>
          <t>VID | Review compilation | v1</t>
        </is>
      </c>
      <c r="D229" t="inlineStr">
        <is>
          <t>Prospecting | Interest | EG</t>
        </is>
      </c>
      <c r="E229" t="inlineStr">
        <is>
          <t>UGC-Reviews</t>
        </is>
      </c>
      <c r="F229" t="n">
        <v>469.83</v>
      </c>
      <c r="G229" s="20" t="n">
        <v>6782</v>
      </c>
      <c r="H229" s="21" t="n">
        <v>110</v>
      </c>
      <c r="I229" s="21" t="n">
        <v>2</v>
      </c>
      <c r="J229" s="21" t="n">
        <v>1461.87</v>
      </c>
    </row>
    <row r="230">
      <c r="A230" s="19" t="n">
        <v>46246</v>
      </c>
      <c r="B230" t="inlineStr">
        <is>
          <t>Meta</t>
        </is>
      </c>
      <c r="C230" t="inlineStr">
        <is>
          <t>STATIC | Bundle offer | v1</t>
        </is>
      </c>
      <c r="D230" t="inlineStr">
        <is>
          <t>Test | Broad | EG</t>
        </is>
      </c>
      <c r="E230" t="inlineStr">
        <is>
          <t>Static-Bundle</t>
        </is>
      </c>
      <c r="F230" t="n">
        <v>322.86</v>
      </c>
      <c r="G230" s="20" t="n">
        <v>4660</v>
      </c>
      <c r="H230" s="21" t="n">
        <v>76</v>
      </c>
      <c r="I230" s="21" t="n">
        <v>1</v>
      </c>
      <c r="J230" s="21" t="n">
        <v>697.6799999999999</v>
      </c>
    </row>
    <row r="231">
      <c r="A231" s="19" t="n">
        <v>46246</v>
      </c>
      <c r="B231" t="inlineStr">
        <is>
          <t>Meta</t>
        </is>
      </c>
      <c r="C231" t="inlineStr">
        <is>
          <t>STATIC | Discount 20% | v1</t>
        </is>
      </c>
      <c r="D231" t="inlineStr">
        <is>
          <t>Retargeting | 7d IC</t>
        </is>
      </c>
      <c r="E231" t="inlineStr">
        <is>
          <t>Static-Discount</t>
        </is>
      </c>
      <c r="F231" t="n">
        <v>274.96</v>
      </c>
      <c r="G231" s="20" t="n">
        <v>3969</v>
      </c>
      <c r="H231" s="21" t="n">
        <v>65</v>
      </c>
      <c r="I231" s="21" t="n">
        <v>2</v>
      </c>
      <c r="J231" s="21" t="n">
        <v>1480.1</v>
      </c>
    </row>
    <row r="232">
      <c r="A232" s="19" t="n">
        <v>46246</v>
      </c>
      <c r="B232" t="inlineStr">
        <is>
          <t>Meta</t>
        </is>
      </c>
      <c r="C232" t="inlineStr">
        <is>
          <t>CAROUSEL | Best sellers</t>
        </is>
      </c>
      <c r="D232" t="inlineStr">
        <is>
          <t>Retargeting | 14d ATC</t>
        </is>
      </c>
      <c r="E232" t="inlineStr">
        <is>
          <t>Carousel-Bestsellers</t>
        </is>
      </c>
      <c r="F232" t="n">
        <v>156.94</v>
      </c>
      <c r="G232" s="20" t="n">
        <v>2265</v>
      </c>
      <c r="H232" s="21" t="n">
        <v>37</v>
      </c>
      <c r="I232" s="21" t="n">
        <v>2</v>
      </c>
      <c r="J232" s="21" t="n">
        <v>1422.48</v>
      </c>
    </row>
    <row r="233">
      <c r="A233" s="19" t="n">
        <v>46246</v>
      </c>
      <c r="B233" t="inlineStr">
        <is>
          <t>Meta</t>
        </is>
      </c>
      <c r="C233" t="inlineStr">
        <is>
          <t>VID | Founder story | v1</t>
        </is>
      </c>
      <c r="D233" t="inlineStr">
        <is>
          <t>Prospecting | Broad | EG</t>
        </is>
      </c>
      <c r="E233" t="inlineStr">
        <is>
          <t>UGC-Founder</t>
        </is>
      </c>
      <c r="F233" t="n">
        <v>141.79</v>
      </c>
      <c r="G233" s="20" t="n">
        <v>2047</v>
      </c>
      <c r="H233" s="21" t="n">
        <v>33</v>
      </c>
      <c r="I233" s="21" t="n">
        <v>0</v>
      </c>
      <c r="J233" s="21" t="n">
        <v>0</v>
      </c>
    </row>
    <row r="234">
      <c r="A234" s="19" t="n">
        <v>46247</v>
      </c>
      <c r="B234" t="inlineStr">
        <is>
          <t>Meta</t>
        </is>
      </c>
      <c r="C234" t="inlineStr">
        <is>
          <t>VID | Founder story | v4</t>
        </is>
      </c>
      <c r="D234" t="inlineStr">
        <is>
          <t>Prospecting | Broad | EG</t>
        </is>
      </c>
      <c r="E234" t="inlineStr">
        <is>
          <t>UGC-Founder</t>
        </is>
      </c>
      <c r="F234" t="n">
        <v>906.62</v>
      </c>
      <c r="G234" s="20" t="n">
        <v>13763</v>
      </c>
      <c r="H234" s="21" t="n">
        <v>221</v>
      </c>
      <c r="I234" s="21" t="n">
        <v>5</v>
      </c>
      <c r="J234" s="21" t="n">
        <v>3413.66</v>
      </c>
    </row>
    <row r="235">
      <c r="A235" s="19" t="n">
        <v>46247</v>
      </c>
      <c r="B235" t="inlineStr">
        <is>
          <t>Meta</t>
        </is>
      </c>
      <c r="C235" t="inlineStr">
        <is>
          <t>STATIC | Bundle offer | v2</t>
        </is>
      </c>
      <c r="D235" t="inlineStr">
        <is>
          <t>Prospecting | Broad | EG</t>
        </is>
      </c>
      <c r="E235" t="inlineStr">
        <is>
          <t>Static-Bundle</t>
        </is>
      </c>
      <c r="F235" t="n">
        <v>565.1900000000001</v>
      </c>
      <c r="G235" s="20" t="n">
        <v>8580</v>
      </c>
      <c r="H235" s="21" t="n">
        <v>137</v>
      </c>
      <c r="I235" s="21" t="n">
        <v>2</v>
      </c>
      <c r="J235" s="21" t="n">
        <v>1379.96</v>
      </c>
    </row>
    <row r="236">
      <c r="A236" s="19" t="n">
        <v>46247</v>
      </c>
      <c r="B236" t="inlineStr">
        <is>
          <t>Meta</t>
        </is>
      </c>
      <c r="C236" t="inlineStr">
        <is>
          <t>VID | Founder story | v3</t>
        </is>
      </c>
      <c r="D236" t="inlineStr">
        <is>
          <t>Prospecting | Broad | EG</t>
        </is>
      </c>
      <c r="E236" t="inlineStr">
        <is>
          <t>UGC-Founder</t>
        </is>
      </c>
      <c r="F236" t="n">
        <v>438.98</v>
      </c>
      <c r="G236" s="20" t="n">
        <v>6664</v>
      </c>
      <c r="H236" s="21" t="n">
        <v>107</v>
      </c>
      <c r="I236" s="21" t="n">
        <v>2</v>
      </c>
      <c r="J236" s="21" t="n">
        <v>1328.99</v>
      </c>
    </row>
    <row r="237">
      <c r="A237" s="19" t="n">
        <v>46247</v>
      </c>
      <c r="B237" t="inlineStr">
        <is>
          <t>Meta</t>
        </is>
      </c>
      <c r="C237" t="inlineStr">
        <is>
          <t>VID | Review compilation | v1</t>
        </is>
      </c>
      <c r="D237" t="inlineStr">
        <is>
          <t>Prospecting | Interest | EG</t>
        </is>
      </c>
      <c r="E237" t="inlineStr">
        <is>
          <t>UGC-Reviews</t>
        </is>
      </c>
      <c r="F237" t="n">
        <v>472.66</v>
      </c>
      <c r="G237" s="20" t="n">
        <v>7175</v>
      </c>
      <c r="H237" s="21" t="n">
        <v>115</v>
      </c>
      <c r="I237" s="21" t="n">
        <v>2</v>
      </c>
      <c r="J237" s="21" t="n">
        <v>1199.54</v>
      </c>
    </row>
    <row r="238">
      <c r="A238" s="19" t="n">
        <v>46247</v>
      </c>
      <c r="B238" t="inlineStr">
        <is>
          <t>Meta</t>
        </is>
      </c>
      <c r="C238" t="inlineStr">
        <is>
          <t>STATIC | Bundle offer | v1</t>
        </is>
      </c>
      <c r="D238" t="inlineStr">
        <is>
          <t>Test | Broad | EG</t>
        </is>
      </c>
      <c r="E238" t="inlineStr">
        <is>
          <t>Static-Bundle</t>
        </is>
      </c>
      <c r="F238" t="n">
        <v>289.87</v>
      </c>
      <c r="G238" s="20" t="n">
        <v>4400</v>
      </c>
      <c r="H238" s="21" t="n">
        <v>71</v>
      </c>
      <c r="I238" s="21" t="n">
        <v>1</v>
      </c>
      <c r="J238" s="21" t="n">
        <v>705.5700000000001</v>
      </c>
    </row>
    <row r="239">
      <c r="A239" s="19" t="n">
        <v>46247</v>
      </c>
      <c r="B239" t="inlineStr">
        <is>
          <t>Meta</t>
        </is>
      </c>
      <c r="C239" t="inlineStr">
        <is>
          <t>STATIC | Discount 20% | v1</t>
        </is>
      </c>
      <c r="D239" t="inlineStr">
        <is>
          <t>Retargeting | 7d IC</t>
        </is>
      </c>
      <c r="E239" t="inlineStr">
        <is>
          <t>Static-Discount</t>
        </is>
      </c>
      <c r="F239" t="n">
        <v>301.65</v>
      </c>
      <c r="G239" s="20" t="n">
        <v>4579</v>
      </c>
      <c r="H239" s="21" t="n">
        <v>73</v>
      </c>
      <c r="I239" s="21" t="n">
        <v>3</v>
      </c>
      <c r="J239" s="21" t="n">
        <v>2096.96</v>
      </c>
    </row>
    <row r="240">
      <c r="A240" s="19" t="n">
        <v>46247</v>
      </c>
      <c r="B240" t="inlineStr">
        <is>
          <t>Meta</t>
        </is>
      </c>
      <c r="C240" t="inlineStr">
        <is>
          <t>CAROUSEL | Best sellers</t>
        </is>
      </c>
      <c r="D240" t="inlineStr">
        <is>
          <t>Retargeting | 14d ATC</t>
        </is>
      </c>
      <c r="E240" t="inlineStr">
        <is>
          <t>Carousel-Bestsellers</t>
        </is>
      </c>
      <c r="F240" t="n">
        <v>195.2</v>
      </c>
      <c r="G240" s="20" t="n">
        <v>2963</v>
      </c>
      <c r="H240" s="21" t="n">
        <v>47</v>
      </c>
      <c r="I240" s="21" t="n">
        <v>2</v>
      </c>
      <c r="J240" s="21" t="n">
        <v>1332.63</v>
      </c>
    </row>
    <row r="241">
      <c r="A241" s="19" t="n">
        <v>46247</v>
      </c>
      <c r="B241" t="inlineStr">
        <is>
          <t>Meta</t>
        </is>
      </c>
      <c r="C241" t="inlineStr">
        <is>
          <t>VID | Founder story | v1</t>
        </is>
      </c>
      <c r="D241" t="inlineStr">
        <is>
          <t>Prospecting | Broad | EG</t>
        </is>
      </c>
      <c r="E241" t="inlineStr">
        <is>
          <t>UGC-Founder</t>
        </is>
      </c>
      <c r="F241" t="n">
        <v>159.34</v>
      </c>
      <c r="G241" s="20" t="n">
        <v>2419</v>
      </c>
      <c r="H241" s="21" t="n">
        <v>39</v>
      </c>
      <c r="I241" s="21" t="n">
        <v>0</v>
      </c>
      <c r="J241" s="21" t="n">
        <v>0</v>
      </c>
    </row>
    <row r="242">
      <c r="A242" s="19" t="n">
        <v>46248</v>
      </c>
      <c r="B242" t="inlineStr">
        <is>
          <t>Meta</t>
        </is>
      </c>
      <c r="C242" t="inlineStr">
        <is>
          <t>VID | Founder story | v4</t>
        </is>
      </c>
      <c r="D242" t="inlineStr">
        <is>
          <t>Prospecting | Broad | EG</t>
        </is>
      </c>
      <c r="E242" t="inlineStr">
        <is>
          <t>UGC-Founder</t>
        </is>
      </c>
      <c r="F242" t="n">
        <v>1008.71</v>
      </c>
      <c r="G242" s="20" t="n">
        <v>15044</v>
      </c>
      <c r="H242" s="21" t="n">
        <v>216</v>
      </c>
      <c r="I242" s="21" t="n">
        <v>4</v>
      </c>
      <c r="J242" s="21" t="n">
        <v>2633.17</v>
      </c>
    </row>
    <row r="243">
      <c r="A243" s="19" t="n">
        <v>46248</v>
      </c>
      <c r="B243" t="inlineStr">
        <is>
          <t>Meta</t>
        </is>
      </c>
      <c r="C243" t="inlineStr">
        <is>
          <t>STATIC | Bundle offer | v2</t>
        </is>
      </c>
      <c r="D243" t="inlineStr">
        <is>
          <t>Prospecting | Broad | EG</t>
        </is>
      </c>
      <c r="E243" t="inlineStr">
        <is>
          <t>Static-Bundle</t>
        </is>
      </c>
      <c r="F243" t="n">
        <v>558.25</v>
      </c>
      <c r="G243" s="20" t="n">
        <v>8326</v>
      </c>
      <c r="H243" s="21" t="n">
        <v>120</v>
      </c>
      <c r="I243" s="21" t="n">
        <v>2</v>
      </c>
      <c r="J243" s="21" t="n">
        <v>1375.86</v>
      </c>
    </row>
    <row r="244">
      <c r="A244" s="19" t="n">
        <v>46248</v>
      </c>
      <c r="B244" t="inlineStr">
        <is>
          <t>Meta</t>
        </is>
      </c>
      <c r="C244" t="inlineStr">
        <is>
          <t>VID | Founder story | v3</t>
        </is>
      </c>
      <c r="D244" t="inlineStr">
        <is>
          <t>Prospecting | Broad | EG</t>
        </is>
      </c>
      <c r="E244" t="inlineStr">
        <is>
          <t>UGC-Founder</t>
        </is>
      </c>
      <c r="F244" t="n">
        <v>515.55</v>
      </c>
      <c r="G244" s="20" t="n">
        <v>7689</v>
      </c>
      <c r="H244" s="21" t="n">
        <v>111</v>
      </c>
      <c r="I244" s="21" t="n">
        <v>2</v>
      </c>
      <c r="J244" s="21" t="n">
        <v>1254.81</v>
      </c>
    </row>
    <row r="245">
      <c r="A245" s="19" t="n">
        <v>46248</v>
      </c>
      <c r="B245" t="inlineStr">
        <is>
          <t>Meta</t>
        </is>
      </c>
      <c r="C245" t="inlineStr">
        <is>
          <t>VID | Review compilation | v1</t>
        </is>
      </c>
      <c r="D245" t="inlineStr">
        <is>
          <t>Prospecting | Interest | EG</t>
        </is>
      </c>
      <c r="E245" t="inlineStr">
        <is>
          <t>UGC-Reviews</t>
        </is>
      </c>
      <c r="F245" t="n">
        <v>445.57</v>
      </c>
      <c r="G245" s="20" t="n">
        <v>6645</v>
      </c>
      <c r="H245" s="21" t="n">
        <v>96</v>
      </c>
      <c r="I245" s="21" t="n">
        <v>2</v>
      </c>
      <c r="J245" s="21" t="n">
        <v>1226.82</v>
      </c>
    </row>
    <row r="246">
      <c r="A246" s="19" t="n">
        <v>46248</v>
      </c>
      <c r="B246" t="inlineStr">
        <is>
          <t>Meta</t>
        </is>
      </c>
      <c r="C246" t="inlineStr">
        <is>
          <t>STATIC | Bundle offer | v1</t>
        </is>
      </c>
      <c r="D246" t="inlineStr">
        <is>
          <t>Test | Broad | EG</t>
        </is>
      </c>
      <c r="E246" t="inlineStr">
        <is>
          <t>Static-Bundle</t>
        </is>
      </c>
      <c r="F246" t="n">
        <v>279.93</v>
      </c>
      <c r="G246" s="20" t="n">
        <v>4175</v>
      </c>
      <c r="H246" s="21" t="n">
        <v>60</v>
      </c>
      <c r="I246" s="21" t="n">
        <v>1</v>
      </c>
      <c r="J246" s="21" t="n">
        <v>625.53</v>
      </c>
    </row>
    <row r="247">
      <c r="A247" s="19" t="n">
        <v>46248</v>
      </c>
      <c r="B247" t="inlineStr">
        <is>
          <t>Meta</t>
        </is>
      </c>
      <c r="C247" t="inlineStr">
        <is>
          <t>STATIC | Discount 20% | v1</t>
        </is>
      </c>
      <c r="D247" t="inlineStr">
        <is>
          <t>Retargeting | 7d IC</t>
        </is>
      </c>
      <c r="E247" t="inlineStr">
        <is>
          <t>Static-Discount</t>
        </is>
      </c>
      <c r="F247" t="n">
        <v>248.61</v>
      </c>
      <c r="G247" s="20" t="n">
        <v>3708</v>
      </c>
      <c r="H247" s="21" t="n">
        <v>53</v>
      </c>
      <c r="I247" s="21" t="n">
        <v>2</v>
      </c>
      <c r="J247" s="21" t="n">
        <v>1302.48</v>
      </c>
    </row>
    <row r="248">
      <c r="A248" s="19" t="n">
        <v>46248</v>
      </c>
      <c r="B248" t="inlineStr">
        <is>
          <t>Meta</t>
        </is>
      </c>
      <c r="C248" t="inlineStr">
        <is>
          <t>CAROUSEL | Best sellers</t>
        </is>
      </c>
      <c r="D248" t="inlineStr">
        <is>
          <t>Retargeting | 14d ATC</t>
        </is>
      </c>
      <c r="E248" t="inlineStr">
        <is>
          <t>Carousel-Bestsellers</t>
        </is>
      </c>
      <c r="F248" t="n">
        <v>200.07</v>
      </c>
      <c r="G248" s="20" t="n">
        <v>2984</v>
      </c>
      <c r="H248" s="21" t="n">
        <v>43</v>
      </c>
      <c r="I248" s="21" t="n">
        <v>1</v>
      </c>
      <c r="J248" s="21" t="n">
        <v>661.7</v>
      </c>
    </row>
    <row r="249">
      <c r="A249" s="19" t="n">
        <v>46248</v>
      </c>
      <c r="B249" t="inlineStr">
        <is>
          <t>Meta</t>
        </is>
      </c>
      <c r="C249" t="inlineStr">
        <is>
          <t>VID | Founder story | v1</t>
        </is>
      </c>
      <c r="D249" t="inlineStr">
        <is>
          <t>Prospecting | Broad | EG</t>
        </is>
      </c>
      <c r="E249" t="inlineStr">
        <is>
          <t>UGC-Founder</t>
        </is>
      </c>
      <c r="F249" t="n">
        <v>136.51</v>
      </c>
      <c r="G249" s="20" t="n">
        <v>2036</v>
      </c>
      <c r="H249" s="21" t="n">
        <v>29</v>
      </c>
      <c r="I249" s="21" t="n">
        <v>0</v>
      </c>
      <c r="J249" s="21" t="n">
        <v>0</v>
      </c>
    </row>
    <row r="250">
      <c r="A250" s="19" t="n">
        <v>46249</v>
      </c>
      <c r="B250" t="inlineStr">
        <is>
          <t>Meta</t>
        </is>
      </c>
      <c r="C250" t="inlineStr">
        <is>
          <t>VID | Founder story | v4</t>
        </is>
      </c>
      <c r="D250" t="inlineStr">
        <is>
          <t>Prospecting | Broad | EG</t>
        </is>
      </c>
      <c r="E250" t="inlineStr">
        <is>
          <t>UGC-Founder</t>
        </is>
      </c>
      <c r="F250" t="n">
        <v>1037.6</v>
      </c>
      <c r="G250" s="20" t="n">
        <v>15238</v>
      </c>
      <c r="H250" s="21" t="n">
        <v>224</v>
      </c>
      <c r="I250" s="21" t="n">
        <v>5</v>
      </c>
      <c r="J250" s="21" t="n">
        <v>3237.54</v>
      </c>
    </row>
    <row r="251">
      <c r="A251" s="19" t="n">
        <v>46249</v>
      </c>
      <c r="B251" t="inlineStr">
        <is>
          <t>Meta</t>
        </is>
      </c>
      <c r="C251" t="inlineStr">
        <is>
          <t>STATIC | Bundle offer | v2</t>
        </is>
      </c>
      <c r="D251" t="inlineStr">
        <is>
          <t>Prospecting | Broad | EG</t>
        </is>
      </c>
      <c r="E251" t="inlineStr">
        <is>
          <t>Static-Bundle</t>
        </is>
      </c>
      <c r="F251" t="n">
        <v>579.24</v>
      </c>
      <c r="G251" s="20" t="n">
        <v>8507</v>
      </c>
      <c r="H251" s="21" t="n">
        <v>125</v>
      </c>
      <c r="I251" s="21" t="n">
        <v>2</v>
      </c>
      <c r="J251" s="21" t="n">
        <v>1354.11</v>
      </c>
    </row>
    <row r="252">
      <c r="A252" s="19" t="n">
        <v>46249</v>
      </c>
      <c r="B252" t="inlineStr">
        <is>
          <t>Meta</t>
        </is>
      </c>
      <c r="C252" t="inlineStr">
        <is>
          <t>VID | Founder story | v3</t>
        </is>
      </c>
      <c r="D252" t="inlineStr">
        <is>
          <t>Prospecting | Broad | EG</t>
        </is>
      </c>
      <c r="E252" t="inlineStr">
        <is>
          <t>UGC-Founder</t>
        </is>
      </c>
      <c r="F252" t="n">
        <v>444.87</v>
      </c>
      <c r="G252" s="20" t="n">
        <v>6533</v>
      </c>
      <c r="H252" s="21" t="n">
        <v>96</v>
      </c>
      <c r="I252" s="21" t="n">
        <v>1</v>
      </c>
      <c r="J252" s="21" t="n">
        <v>734.3099999999999</v>
      </c>
    </row>
    <row r="253">
      <c r="A253" s="19" t="n">
        <v>46249</v>
      </c>
      <c r="B253" t="inlineStr">
        <is>
          <t>Meta</t>
        </is>
      </c>
      <c r="C253" t="inlineStr">
        <is>
          <t>VID | Review compilation | v1</t>
        </is>
      </c>
      <c r="D253" t="inlineStr">
        <is>
          <t>Prospecting | Interest | EG</t>
        </is>
      </c>
      <c r="E253" t="inlineStr">
        <is>
          <t>UGC-Reviews</t>
        </is>
      </c>
      <c r="F253" t="n">
        <v>460.77</v>
      </c>
      <c r="G253" s="20" t="n">
        <v>6767</v>
      </c>
      <c r="H253" s="21" t="n">
        <v>100</v>
      </c>
      <c r="I253" s="21" t="n">
        <v>2</v>
      </c>
      <c r="J253" s="21" t="n">
        <v>1474.34</v>
      </c>
    </row>
    <row r="254">
      <c r="A254" s="19" t="n">
        <v>46249</v>
      </c>
      <c r="B254" t="inlineStr">
        <is>
          <t>Meta</t>
        </is>
      </c>
      <c r="C254" t="inlineStr">
        <is>
          <t>STATIC | Bundle offer | v1</t>
        </is>
      </c>
      <c r="D254" t="inlineStr">
        <is>
          <t>Test | Broad | EG</t>
        </is>
      </c>
      <c r="E254" t="inlineStr">
        <is>
          <t>Static-Bundle</t>
        </is>
      </c>
      <c r="F254" t="n">
        <v>355.86</v>
      </c>
      <c r="G254" s="20" t="n">
        <v>5226</v>
      </c>
      <c r="H254" s="21" t="n">
        <v>77</v>
      </c>
      <c r="I254" s="21" t="n">
        <v>1</v>
      </c>
      <c r="J254" s="21" t="n">
        <v>734.83</v>
      </c>
    </row>
    <row r="255">
      <c r="A255" s="19" t="n">
        <v>46249</v>
      </c>
      <c r="B255" t="inlineStr">
        <is>
          <t>Meta</t>
        </is>
      </c>
      <c r="C255" t="inlineStr">
        <is>
          <t>STATIC | Discount 20% | v1</t>
        </is>
      </c>
      <c r="D255" t="inlineStr">
        <is>
          <t>Retargeting | 7d IC</t>
        </is>
      </c>
      <c r="E255" t="inlineStr">
        <is>
          <t>Static-Discount</t>
        </is>
      </c>
      <c r="F255" t="n">
        <v>260.17</v>
      </c>
      <c r="G255" s="20" t="n">
        <v>3821</v>
      </c>
      <c r="H255" s="21" t="n">
        <v>56</v>
      </c>
      <c r="I255" s="21" t="n">
        <v>2</v>
      </c>
      <c r="J255" s="21" t="n">
        <v>1360.38</v>
      </c>
    </row>
    <row r="256">
      <c r="A256" s="19" t="n">
        <v>46249</v>
      </c>
      <c r="B256" t="inlineStr">
        <is>
          <t>Meta</t>
        </is>
      </c>
      <c r="C256" t="inlineStr">
        <is>
          <t>CAROUSEL | Best sellers</t>
        </is>
      </c>
      <c r="D256" t="inlineStr">
        <is>
          <t>Retargeting | 14d ATC</t>
        </is>
      </c>
      <c r="E256" t="inlineStr">
        <is>
          <t>Carousel-Bestsellers</t>
        </is>
      </c>
      <c r="F256" t="n">
        <v>197.4</v>
      </c>
      <c r="G256" s="20" t="n">
        <v>2899</v>
      </c>
      <c r="H256" s="21" t="n">
        <v>43</v>
      </c>
      <c r="I256" s="21" t="n">
        <v>2</v>
      </c>
      <c r="J256" s="21" t="n">
        <v>1424.46</v>
      </c>
    </row>
    <row r="257">
      <c r="A257" s="19" t="n">
        <v>46249</v>
      </c>
      <c r="B257" t="inlineStr">
        <is>
          <t>Meta</t>
        </is>
      </c>
      <c r="C257" t="inlineStr">
        <is>
          <t>VID | Founder story | v1</t>
        </is>
      </c>
      <c r="D257" t="inlineStr">
        <is>
          <t>Prospecting | Broad | EG</t>
        </is>
      </c>
      <c r="E257" t="inlineStr">
        <is>
          <t>UGC-Founder</t>
        </is>
      </c>
      <c r="F257" t="n">
        <v>132.14</v>
      </c>
      <c r="G257" s="20" t="n">
        <v>1941</v>
      </c>
      <c r="H257" s="21" t="n">
        <v>29</v>
      </c>
      <c r="I257" s="21" t="n">
        <v>0</v>
      </c>
      <c r="J257" s="21" t="n">
        <v>0</v>
      </c>
    </row>
    <row r="258">
      <c r="A258" s="19" t="n">
        <v>46250</v>
      </c>
      <c r="B258" t="inlineStr">
        <is>
          <t>Meta</t>
        </is>
      </c>
      <c r="C258" t="inlineStr">
        <is>
          <t>VID | Founder story | v4</t>
        </is>
      </c>
      <c r="D258" t="inlineStr">
        <is>
          <t>Prospecting | Broad | EG</t>
        </is>
      </c>
      <c r="E258" t="inlineStr">
        <is>
          <t>UGC-Founder</t>
        </is>
      </c>
      <c r="F258" t="n">
        <v>986.91</v>
      </c>
      <c r="G258" s="20" t="n">
        <v>14397</v>
      </c>
      <c r="H258" s="21" t="n">
        <v>234</v>
      </c>
      <c r="I258" s="21" t="n">
        <v>5</v>
      </c>
      <c r="J258" s="21" t="n">
        <v>3492.95</v>
      </c>
    </row>
    <row r="259">
      <c r="A259" s="19" t="n">
        <v>46250</v>
      </c>
      <c r="B259" t="inlineStr">
        <is>
          <t>Meta</t>
        </is>
      </c>
      <c r="C259" t="inlineStr">
        <is>
          <t>STATIC | Bundle offer | v2</t>
        </is>
      </c>
      <c r="D259" t="inlineStr">
        <is>
          <t>Prospecting | Broad | EG</t>
        </is>
      </c>
      <c r="E259" t="inlineStr">
        <is>
          <t>Static-Bundle</t>
        </is>
      </c>
      <c r="F259" t="n">
        <v>588.59</v>
      </c>
      <c r="G259" s="20" t="n">
        <v>8586</v>
      </c>
      <c r="H259" s="21" t="n">
        <v>140</v>
      </c>
      <c r="I259" s="21" t="n">
        <v>2</v>
      </c>
      <c r="J259" s="21" t="n">
        <v>1436.1</v>
      </c>
    </row>
    <row r="260">
      <c r="A260" s="19" t="n">
        <v>46250</v>
      </c>
      <c r="B260" t="inlineStr">
        <is>
          <t>Meta</t>
        </is>
      </c>
      <c r="C260" t="inlineStr">
        <is>
          <t>VID | Founder story | v3</t>
        </is>
      </c>
      <c r="D260" t="inlineStr">
        <is>
          <t>Prospecting | Broad | EG</t>
        </is>
      </c>
      <c r="E260" t="inlineStr">
        <is>
          <t>UGC-Founder</t>
        </is>
      </c>
      <c r="F260" t="n">
        <v>557.36</v>
      </c>
      <c r="G260" s="20" t="n">
        <v>8131</v>
      </c>
      <c r="H260" s="21" t="n">
        <v>132</v>
      </c>
      <c r="I260" s="21" t="n">
        <v>2</v>
      </c>
      <c r="J260" s="21" t="n">
        <v>1299.89</v>
      </c>
    </row>
    <row r="261">
      <c r="A261" s="19" t="n">
        <v>46250</v>
      </c>
      <c r="B261" t="inlineStr">
        <is>
          <t>Meta</t>
        </is>
      </c>
      <c r="C261" t="inlineStr">
        <is>
          <t>VID | Review compilation | v1</t>
        </is>
      </c>
      <c r="D261" t="inlineStr">
        <is>
          <t>Prospecting | Interest | EG</t>
        </is>
      </c>
      <c r="E261" t="inlineStr">
        <is>
          <t>UGC-Reviews</t>
        </is>
      </c>
      <c r="F261" t="n">
        <v>453.51</v>
      </c>
      <c r="G261" s="20" t="n">
        <v>6616</v>
      </c>
      <c r="H261" s="21" t="n">
        <v>108</v>
      </c>
      <c r="I261" s="21" t="n">
        <v>2</v>
      </c>
      <c r="J261" s="21" t="n">
        <v>1252.4</v>
      </c>
    </row>
    <row r="262">
      <c r="A262" s="19" t="n">
        <v>46250</v>
      </c>
      <c r="B262" t="inlineStr">
        <is>
          <t>Meta</t>
        </is>
      </c>
      <c r="C262" t="inlineStr">
        <is>
          <t>STATIC | Bundle offer | v1</t>
        </is>
      </c>
      <c r="D262" t="inlineStr">
        <is>
          <t>Test | Broad | EG</t>
        </is>
      </c>
      <c r="E262" t="inlineStr">
        <is>
          <t>Static-Bundle</t>
        </is>
      </c>
      <c r="F262" t="n">
        <v>380</v>
      </c>
      <c r="G262" s="20" t="n">
        <v>5543</v>
      </c>
      <c r="H262" s="21" t="n">
        <v>90</v>
      </c>
      <c r="I262" s="21" t="n">
        <v>1</v>
      </c>
      <c r="J262" s="21" t="n">
        <v>618.48</v>
      </c>
    </row>
    <row r="263">
      <c r="A263" s="19" t="n">
        <v>46250</v>
      </c>
      <c r="B263" t="inlineStr">
        <is>
          <t>Meta</t>
        </is>
      </c>
      <c r="C263" t="inlineStr">
        <is>
          <t>STATIC | Discount 20% | v1</t>
        </is>
      </c>
      <c r="D263" t="inlineStr">
        <is>
          <t>Retargeting | 7d IC</t>
        </is>
      </c>
      <c r="E263" t="inlineStr">
        <is>
          <t>Static-Discount</t>
        </is>
      </c>
      <c r="F263" t="n">
        <v>313.18</v>
      </c>
      <c r="G263" s="20" t="n">
        <v>4569</v>
      </c>
      <c r="H263" s="21" t="n">
        <v>74</v>
      </c>
      <c r="I263" s="21" t="n">
        <v>2</v>
      </c>
      <c r="J263" s="21" t="n">
        <v>1430.19</v>
      </c>
    </row>
    <row r="264">
      <c r="A264" s="19" t="n">
        <v>46250</v>
      </c>
      <c r="B264" t="inlineStr">
        <is>
          <t>Meta</t>
        </is>
      </c>
      <c r="C264" t="inlineStr">
        <is>
          <t>CAROUSEL | Best sellers</t>
        </is>
      </c>
      <c r="D264" t="inlineStr">
        <is>
          <t>Retargeting | 14d ATC</t>
        </is>
      </c>
      <c r="E264" t="inlineStr">
        <is>
          <t>Carousel-Bestsellers</t>
        </is>
      </c>
      <c r="F264" t="n">
        <v>165.8</v>
      </c>
      <c r="G264" s="20" t="n">
        <v>2419</v>
      </c>
      <c r="H264" s="21" t="n">
        <v>39</v>
      </c>
      <c r="I264" s="21" t="n">
        <v>1</v>
      </c>
      <c r="J264" s="21" t="n">
        <v>618.59</v>
      </c>
    </row>
    <row r="265">
      <c r="A265" s="19" t="n">
        <v>46250</v>
      </c>
      <c r="B265" t="inlineStr">
        <is>
          <t>Meta</t>
        </is>
      </c>
      <c r="C265" t="inlineStr">
        <is>
          <t>VID | Founder story | v1</t>
        </is>
      </c>
      <c r="D265" t="inlineStr">
        <is>
          <t>Prospecting | Broad | EG</t>
        </is>
      </c>
      <c r="E265" t="inlineStr">
        <is>
          <t>UGC-Founder</t>
        </is>
      </c>
      <c r="F265" t="n">
        <v>153.18</v>
      </c>
      <c r="G265" s="20" t="n">
        <v>2235</v>
      </c>
      <c r="H265" s="21" t="n">
        <v>36</v>
      </c>
      <c r="I265" s="21" t="n">
        <v>0</v>
      </c>
      <c r="J265" s="21" t="n">
        <v>0</v>
      </c>
    </row>
    <row r="266">
      <c r="A266" s="19" t="n">
        <v>46251</v>
      </c>
      <c r="B266" t="inlineStr">
        <is>
          <t>Meta</t>
        </is>
      </c>
      <c r="C266" t="inlineStr">
        <is>
          <t>VID | Founder story | v4</t>
        </is>
      </c>
      <c r="D266" t="inlineStr">
        <is>
          <t>Prospecting | Broad | EG</t>
        </is>
      </c>
      <c r="E266" t="inlineStr">
        <is>
          <t>UGC-Founder</t>
        </is>
      </c>
      <c r="F266" t="n">
        <v>792.85</v>
      </c>
      <c r="G266" s="20" t="n">
        <v>10945</v>
      </c>
      <c r="H266" s="21" t="n">
        <v>160</v>
      </c>
      <c r="I266" s="21" t="n">
        <v>3</v>
      </c>
      <c r="J266" s="21" t="n">
        <v>2037.19</v>
      </c>
    </row>
    <row r="267">
      <c r="A267" s="19" t="n">
        <v>46251</v>
      </c>
      <c r="B267" t="inlineStr">
        <is>
          <t>Meta</t>
        </is>
      </c>
      <c r="C267" t="inlineStr">
        <is>
          <t>STATIC | Bundle offer | v2</t>
        </is>
      </c>
      <c r="D267" t="inlineStr">
        <is>
          <t>Prospecting | Broad | EG</t>
        </is>
      </c>
      <c r="E267" t="inlineStr">
        <is>
          <t>Static-Bundle</t>
        </is>
      </c>
      <c r="F267" t="n">
        <v>596.49</v>
      </c>
      <c r="G267" s="20" t="n">
        <v>8234</v>
      </c>
      <c r="H267" s="21" t="n">
        <v>120</v>
      </c>
      <c r="I267" s="21" t="n">
        <v>2</v>
      </c>
      <c r="J267" s="21" t="n">
        <v>1549.39</v>
      </c>
    </row>
    <row r="268">
      <c r="A268" s="19" t="n">
        <v>46251</v>
      </c>
      <c r="B268" t="inlineStr">
        <is>
          <t>Meta</t>
        </is>
      </c>
      <c r="C268" t="inlineStr">
        <is>
          <t>VID | Founder story | v3</t>
        </is>
      </c>
      <c r="D268" t="inlineStr">
        <is>
          <t>Prospecting | Broad | EG</t>
        </is>
      </c>
      <c r="E268" t="inlineStr">
        <is>
          <t>UGC-Founder</t>
        </is>
      </c>
      <c r="F268" t="n">
        <v>504.49</v>
      </c>
      <c r="G268" s="20" t="n">
        <v>6964</v>
      </c>
      <c r="H268" s="21" t="n">
        <v>102</v>
      </c>
      <c r="I268" s="21" t="n">
        <v>2</v>
      </c>
      <c r="J268" s="21" t="n">
        <v>1431.25</v>
      </c>
    </row>
    <row r="269">
      <c r="A269" s="19" t="n">
        <v>46251</v>
      </c>
      <c r="B269" t="inlineStr">
        <is>
          <t>Meta</t>
        </is>
      </c>
      <c r="C269" t="inlineStr">
        <is>
          <t>VID | Review compilation | v1</t>
        </is>
      </c>
      <c r="D269" t="inlineStr">
        <is>
          <t>Prospecting | Interest | EG</t>
        </is>
      </c>
      <c r="E269" t="inlineStr">
        <is>
          <t>UGC-Reviews</t>
        </is>
      </c>
      <c r="F269" t="n">
        <v>395.21</v>
      </c>
      <c r="G269" s="20" t="n">
        <v>5456</v>
      </c>
      <c r="H269" s="21" t="n">
        <v>80</v>
      </c>
      <c r="I269" s="21" t="n">
        <v>1</v>
      </c>
      <c r="J269" s="21" t="n">
        <v>649.42</v>
      </c>
    </row>
    <row r="270">
      <c r="A270" s="19" t="n">
        <v>46251</v>
      </c>
      <c r="B270" t="inlineStr">
        <is>
          <t>Meta</t>
        </is>
      </c>
      <c r="C270" t="inlineStr">
        <is>
          <t>STATIC | Bundle offer | v1</t>
        </is>
      </c>
      <c r="D270" t="inlineStr">
        <is>
          <t>Test | Broad | EG</t>
        </is>
      </c>
      <c r="E270" t="inlineStr">
        <is>
          <t>Static-Bundle</t>
        </is>
      </c>
      <c r="F270" t="n">
        <v>324.56</v>
      </c>
      <c r="G270" s="20" t="n">
        <v>4480</v>
      </c>
      <c r="H270" s="21" t="n">
        <v>65</v>
      </c>
      <c r="I270" s="21" t="n">
        <v>1</v>
      </c>
      <c r="J270" s="21" t="n">
        <v>646.37</v>
      </c>
    </row>
    <row r="271">
      <c r="A271" s="19" t="n">
        <v>46251</v>
      </c>
      <c r="B271" t="inlineStr">
        <is>
          <t>Meta</t>
        </is>
      </c>
      <c r="C271" t="inlineStr">
        <is>
          <t>STATIC | Discount 20% | v1</t>
        </is>
      </c>
      <c r="D271" t="inlineStr">
        <is>
          <t>Retargeting | 7d IC</t>
        </is>
      </c>
      <c r="E271" t="inlineStr">
        <is>
          <t>Static-Discount</t>
        </is>
      </c>
      <c r="F271" t="n">
        <v>247.41</v>
      </c>
      <c r="G271" s="20" t="n">
        <v>3415</v>
      </c>
      <c r="H271" s="21" t="n">
        <v>50</v>
      </c>
      <c r="I271" s="21" t="n">
        <v>1</v>
      </c>
      <c r="J271" s="21" t="n">
        <v>716.42</v>
      </c>
    </row>
    <row r="272">
      <c r="A272" s="19" t="n">
        <v>46251</v>
      </c>
      <c r="B272" t="inlineStr">
        <is>
          <t>Meta</t>
        </is>
      </c>
      <c r="C272" t="inlineStr">
        <is>
          <t>CAROUSEL | Best sellers</t>
        </is>
      </c>
      <c r="D272" t="inlineStr">
        <is>
          <t>Retargeting | 14d ATC</t>
        </is>
      </c>
      <c r="E272" t="inlineStr">
        <is>
          <t>Carousel-Bestsellers</t>
        </is>
      </c>
      <c r="F272" t="n">
        <v>192.78</v>
      </c>
      <c r="G272" s="20" t="n">
        <v>2661</v>
      </c>
      <c r="H272" s="21" t="n">
        <v>39</v>
      </c>
      <c r="I272" s="21" t="n">
        <v>1</v>
      </c>
      <c r="J272" s="21" t="n">
        <v>710.55</v>
      </c>
    </row>
    <row r="273">
      <c r="A273" s="19" t="n">
        <v>46251</v>
      </c>
      <c r="B273" t="inlineStr">
        <is>
          <t>Meta</t>
        </is>
      </c>
      <c r="C273" t="inlineStr">
        <is>
          <t>VID | Founder story | v1</t>
        </is>
      </c>
      <c r="D273" t="inlineStr">
        <is>
          <t>Prospecting | Broad | EG</t>
        </is>
      </c>
      <c r="E273" t="inlineStr">
        <is>
          <t>UGC-Founder</t>
        </is>
      </c>
      <c r="F273" t="n">
        <v>146.61</v>
      </c>
      <c r="G273" s="20" t="n">
        <v>2024</v>
      </c>
      <c r="H273" s="21" t="n">
        <v>30</v>
      </c>
      <c r="I273" s="21" t="n">
        <v>0</v>
      </c>
      <c r="J273" s="21" t="n">
        <v>0</v>
      </c>
    </row>
    <row r="274">
      <c r="A274" s="19" t="n">
        <v>46252</v>
      </c>
      <c r="B274" t="inlineStr">
        <is>
          <t>Meta</t>
        </is>
      </c>
      <c r="C274" t="inlineStr">
        <is>
          <t>VID | Founder story | v4</t>
        </is>
      </c>
      <c r="D274" t="inlineStr">
        <is>
          <t>Prospecting | Broad | EG</t>
        </is>
      </c>
      <c r="E274" t="inlineStr">
        <is>
          <t>UGC-Founder</t>
        </is>
      </c>
      <c r="F274" t="n">
        <v>836.67</v>
      </c>
      <c r="G274" s="20" t="n">
        <v>12692</v>
      </c>
      <c r="H274" s="21" t="n">
        <v>201</v>
      </c>
      <c r="I274" s="21" t="n">
        <v>4</v>
      </c>
      <c r="J274" s="21" t="n">
        <v>2801.55</v>
      </c>
    </row>
    <row r="275">
      <c r="A275" s="19" t="n">
        <v>46252</v>
      </c>
      <c r="B275" t="inlineStr">
        <is>
          <t>Meta</t>
        </is>
      </c>
      <c r="C275" t="inlineStr">
        <is>
          <t>STATIC | Bundle offer | v2</t>
        </is>
      </c>
      <c r="D275" t="inlineStr">
        <is>
          <t>Prospecting | Broad | EG</t>
        </is>
      </c>
      <c r="E275" t="inlineStr">
        <is>
          <t>Static-Bundle</t>
        </is>
      </c>
      <c r="F275" t="n">
        <v>595.9</v>
      </c>
      <c r="G275" s="20" t="n">
        <v>9040</v>
      </c>
      <c r="H275" s="21" t="n">
        <v>143</v>
      </c>
      <c r="I275" s="21" t="n">
        <v>2</v>
      </c>
      <c r="J275" s="21" t="n">
        <v>1345.7</v>
      </c>
    </row>
    <row r="276">
      <c r="A276" s="19" t="n">
        <v>46252</v>
      </c>
      <c r="B276" t="inlineStr">
        <is>
          <t>Meta</t>
        </is>
      </c>
      <c r="C276" t="inlineStr">
        <is>
          <t>VID | Founder story | v3</t>
        </is>
      </c>
      <c r="D276" t="inlineStr">
        <is>
          <t>Prospecting | Broad | EG</t>
        </is>
      </c>
      <c r="E276" t="inlineStr">
        <is>
          <t>UGC-Founder</t>
        </is>
      </c>
      <c r="F276" t="n">
        <v>443</v>
      </c>
      <c r="G276" s="20" t="n">
        <v>6720</v>
      </c>
      <c r="H276" s="21" t="n">
        <v>107</v>
      </c>
      <c r="I276" s="21" t="n">
        <v>1</v>
      </c>
      <c r="J276" s="21" t="n">
        <v>697.1799999999999</v>
      </c>
    </row>
    <row r="277">
      <c r="A277" s="19" t="n">
        <v>46252</v>
      </c>
      <c r="B277" t="inlineStr">
        <is>
          <t>Meta</t>
        </is>
      </c>
      <c r="C277" t="inlineStr">
        <is>
          <t>VID | Review compilation | v1</t>
        </is>
      </c>
      <c r="D277" t="inlineStr">
        <is>
          <t>Prospecting | Interest | EG</t>
        </is>
      </c>
      <c r="E277" t="inlineStr">
        <is>
          <t>UGC-Reviews</t>
        </is>
      </c>
      <c r="F277" t="n">
        <v>516.73</v>
      </c>
      <c r="G277" s="20" t="n">
        <v>7839</v>
      </c>
      <c r="H277" s="21" t="n">
        <v>124</v>
      </c>
      <c r="I277" s="21" t="n">
        <v>2</v>
      </c>
      <c r="J277" s="21" t="n">
        <v>1236.45</v>
      </c>
    </row>
    <row r="278">
      <c r="A278" s="19" t="n">
        <v>46252</v>
      </c>
      <c r="B278" t="inlineStr">
        <is>
          <t>Meta</t>
        </is>
      </c>
      <c r="C278" t="inlineStr">
        <is>
          <t>STATIC | Bundle offer | v1</t>
        </is>
      </c>
      <c r="D278" t="inlineStr">
        <is>
          <t>Test | Broad | EG</t>
        </is>
      </c>
      <c r="E278" t="inlineStr">
        <is>
          <t>Static-Bundle</t>
        </is>
      </c>
      <c r="F278" t="n">
        <v>265.86</v>
      </c>
      <c r="G278" s="20" t="n">
        <v>4033</v>
      </c>
      <c r="H278" s="21" t="n">
        <v>64</v>
      </c>
      <c r="I278" s="21" t="n">
        <v>1</v>
      </c>
      <c r="J278" s="21" t="n">
        <v>628.86</v>
      </c>
    </row>
    <row r="279">
      <c r="A279" s="19" t="n">
        <v>46252</v>
      </c>
      <c r="B279" t="inlineStr">
        <is>
          <t>Meta</t>
        </is>
      </c>
      <c r="C279" t="inlineStr">
        <is>
          <t>STATIC | Discount 20% | v1</t>
        </is>
      </c>
      <c r="D279" t="inlineStr">
        <is>
          <t>Retargeting | 7d IC</t>
        </is>
      </c>
      <c r="E279" t="inlineStr">
        <is>
          <t>Static-Discount</t>
        </is>
      </c>
      <c r="F279" t="n">
        <v>280.08</v>
      </c>
      <c r="G279" s="20" t="n">
        <v>4249</v>
      </c>
      <c r="H279" s="21" t="n">
        <v>67</v>
      </c>
      <c r="I279" s="21" t="n">
        <v>2</v>
      </c>
      <c r="J279" s="21" t="n">
        <v>1263.06</v>
      </c>
    </row>
    <row r="280">
      <c r="A280" s="19" t="n">
        <v>46252</v>
      </c>
      <c r="B280" t="inlineStr">
        <is>
          <t>Meta</t>
        </is>
      </c>
      <c r="C280" t="inlineStr">
        <is>
          <t>CAROUSEL | Best sellers</t>
        </is>
      </c>
      <c r="D280" t="inlineStr">
        <is>
          <t>Retargeting | 14d ATC</t>
        </is>
      </c>
      <c r="E280" t="inlineStr">
        <is>
          <t>Carousel-Bestsellers</t>
        </is>
      </c>
      <c r="F280" t="n">
        <v>200.89</v>
      </c>
      <c r="G280" s="20" t="n">
        <v>3048</v>
      </c>
      <c r="H280" s="21" t="n">
        <v>48</v>
      </c>
      <c r="I280" s="21" t="n">
        <v>2</v>
      </c>
      <c r="J280" s="21" t="n">
        <v>1419.46</v>
      </c>
    </row>
    <row r="281">
      <c r="A281" s="19" t="n">
        <v>46252</v>
      </c>
      <c r="B281" t="inlineStr">
        <is>
          <t>Meta</t>
        </is>
      </c>
      <c r="C281" t="inlineStr">
        <is>
          <t>VID | Founder story | v1</t>
        </is>
      </c>
      <c r="D281" t="inlineStr">
        <is>
          <t>Prospecting | Broad | EG</t>
        </is>
      </c>
      <c r="E281" t="inlineStr">
        <is>
          <t>UGC-Founder</t>
        </is>
      </c>
      <c r="F281" t="n">
        <v>129.24</v>
      </c>
      <c r="G281" s="20" t="n">
        <v>1961</v>
      </c>
      <c r="H281" s="21" t="n">
        <v>31</v>
      </c>
      <c r="I281" s="21" t="n">
        <v>0</v>
      </c>
      <c r="J281" s="21" t="n">
        <v>0</v>
      </c>
    </row>
    <row r="282">
      <c r="A282" s="19" t="n">
        <v>46253</v>
      </c>
      <c r="B282" t="inlineStr">
        <is>
          <t>Meta</t>
        </is>
      </c>
      <c r="C282" t="inlineStr">
        <is>
          <t>VID | Founder story | v4</t>
        </is>
      </c>
      <c r="D282" t="inlineStr">
        <is>
          <t>Prospecting | Broad | EG</t>
        </is>
      </c>
      <c r="E282" t="inlineStr">
        <is>
          <t>UGC-Founder</t>
        </is>
      </c>
      <c r="F282" t="n">
        <v>858.53</v>
      </c>
      <c r="G282" s="20" t="n">
        <v>11812</v>
      </c>
      <c r="H282" s="21" t="n">
        <v>177</v>
      </c>
      <c r="I282" s="21" t="n">
        <v>4</v>
      </c>
      <c r="J282" s="21" t="n">
        <v>2457.69</v>
      </c>
    </row>
    <row r="283">
      <c r="A283" s="19" t="n">
        <v>46253</v>
      </c>
      <c r="B283" t="inlineStr">
        <is>
          <t>Meta</t>
        </is>
      </c>
      <c r="C283" t="inlineStr">
        <is>
          <t>STATIC | Bundle offer | v2</t>
        </is>
      </c>
      <c r="D283" t="inlineStr">
        <is>
          <t>Prospecting | Broad | EG</t>
        </is>
      </c>
      <c r="E283" t="inlineStr">
        <is>
          <t>Static-Bundle</t>
        </is>
      </c>
      <c r="F283" t="n">
        <v>584.42</v>
      </c>
      <c r="G283" s="20" t="n">
        <v>8040</v>
      </c>
      <c r="H283" s="21" t="n">
        <v>120</v>
      </c>
      <c r="I283" s="21" t="n">
        <v>2</v>
      </c>
      <c r="J283" s="21" t="n">
        <v>1233.09</v>
      </c>
    </row>
    <row r="284">
      <c r="A284" s="19" t="n">
        <v>46253</v>
      </c>
      <c r="B284" t="inlineStr">
        <is>
          <t>Meta</t>
        </is>
      </c>
      <c r="C284" t="inlineStr">
        <is>
          <t>VID | Founder story | v3</t>
        </is>
      </c>
      <c r="D284" t="inlineStr">
        <is>
          <t>Prospecting | Broad | EG</t>
        </is>
      </c>
      <c r="E284" t="inlineStr">
        <is>
          <t>UGC-Founder</t>
        </is>
      </c>
      <c r="F284" t="n">
        <v>417.77</v>
      </c>
      <c r="G284" s="20" t="n">
        <v>5748</v>
      </c>
      <c r="H284" s="21" t="n">
        <v>86</v>
      </c>
      <c r="I284" s="21" t="n">
        <v>2</v>
      </c>
      <c r="J284" s="21" t="n">
        <v>1296.54</v>
      </c>
    </row>
    <row r="285">
      <c r="A285" s="19" t="n">
        <v>46253</v>
      </c>
      <c r="B285" t="inlineStr">
        <is>
          <t>Meta</t>
        </is>
      </c>
      <c r="C285" t="inlineStr">
        <is>
          <t>VID | Review compilation | v1</t>
        </is>
      </c>
      <c r="D285" t="inlineStr">
        <is>
          <t>Prospecting | Interest | EG</t>
        </is>
      </c>
      <c r="E285" t="inlineStr">
        <is>
          <t>UGC-Reviews</t>
        </is>
      </c>
      <c r="F285" t="n">
        <v>387.27</v>
      </c>
      <c r="G285" s="20" t="n">
        <v>5328</v>
      </c>
      <c r="H285" s="21" t="n">
        <v>80</v>
      </c>
      <c r="I285" s="21" t="n">
        <v>2</v>
      </c>
      <c r="J285" s="21" t="n">
        <v>1213.45</v>
      </c>
    </row>
    <row r="286">
      <c r="A286" s="19" t="n">
        <v>46253</v>
      </c>
      <c r="B286" t="inlineStr">
        <is>
          <t>Meta</t>
        </is>
      </c>
      <c r="C286" t="inlineStr">
        <is>
          <t>STATIC | Bundle offer | v1</t>
        </is>
      </c>
      <c r="D286" t="inlineStr">
        <is>
          <t>Test | Broad | EG</t>
        </is>
      </c>
      <c r="E286" t="inlineStr">
        <is>
          <t>Static-Bundle</t>
        </is>
      </c>
      <c r="F286" t="n">
        <v>262.97</v>
      </c>
      <c r="G286" s="20" t="n">
        <v>3618</v>
      </c>
      <c r="H286" s="21" t="n">
        <v>54</v>
      </c>
      <c r="I286" s="21" t="n">
        <v>1</v>
      </c>
      <c r="J286" s="21" t="n">
        <v>630.47</v>
      </c>
    </row>
    <row r="287">
      <c r="A287" s="19" t="n">
        <v>46253</v>
      </c>
      <c r="B287" t="inlineStr">
        <is>
          <t>Meta</t>
        </is>
      </c>
      <c r="C287" t="inlineStr">
        <is>
          <t>STATIC | Discount 20% | v1</t>
        </is>
      </c>
      <c r="D287" t="inlineStr">
        <is>
          <t>Retargeting | 7d IC</t>
        </is>
      </c>
      <c r="E287" t="inlineStr">
        <is>
          <t>Static-Discount</t>
        </is>
      </c>
      <c r="F287" t="n">
        <v>273.87</v>
      </c>
      <c r="G287" s="20" t="n">
        <v>3768</v>
      </c>
      <c r="H287" s="21" t="n">
        <v>56</v>
      </c>
      <c r="I287" s="21" t="n">
        <v>2</v>
      </c>
      <c r="J287" s="21" t="n">
        <v>1411.73</v>
      </c>
    </row>
    <row r="288">
      <c r="A288" s="19" t="n">
        <v>46253</v>
      </c>
      <c r="B288" t="inlineStr">
        <is>
          <t>Meta</t>
        </is>
      </c>
      <c r="C288" t="inlineStr">
        <is>
          <t>CAROUSEL | Best sellers</t>
        </is>
      </c>
      <c r="D288" t="inlineStr">
        <is>
          <t>Retargeting | 14d ATC</t>
        </is>
      </c>
      <c r="E288" t="inlineStr">
        <is>
          <t>Carousel-Bestsellers</t>
        </is>
      </c>
      <c r="F288" t="n">
        <v>163.01</v>
      </c>
      <c r="G288" s="20" t="n">
        <v>2243</v>
      </c>
      <c r="H288" s="21" t="n">
        <v>34</v>
      </c>
      <c r="I288" s="21" t="n">
        <v>1</v>
      </c>
      <c r="J288" s="21" t="n">
        <v>696.5599999999999</v>
      </c>
    </row>
    <row r="289">
      <c r="A289" s="19" t="n">
        <v>46253</v>
      </c>
      <c r="B289" t="inlineStr">
        <is>
          <t>Meta</t>
        </is>
      </c>
      <c r="C289" t="inlineStr">
        <is>
          <t>VID | Founder story | v1</t>
        </is>
      </c>
      <c r="D289" t="inlineStr">
        <is>
          <t>Prospecting | Broad | EG</t>
        </is>
      </c>
      <c r="E289" t="inlineStr">
        <is>
          <t>UGC-Founder</t>
        </is>
      </c>
      <c r="F289" t="n">
        <v>157.59</v>
      </c>
      <c r="G289" s="20" t="n">
        <v>2168</v>
      </c>
      <c r="H289" s="21" t="n">
        <v>32</v>
      </c>
      <c r="I289" s="21" t="n">
        <v>0</v>
      </c>
      <c r="J289" s="21" t="n">
        <v>0</v>
      </c>
    </row>
    <row r="290">
      <c r="A290" s="19" t="n">
        <v>46254</v>
      </c>
      <c r="B290" t="inlineStr">
        <is>
          <t>Meta</t>
        </is>
      </c>
      <c r="C290" t="inlineStr">
        <is>
          <t>VID | Founder story | v4</t>
        </is>
      </c>
      <c r="D290" t="inlineStr">
        <is>
          <t>Prospecting | Broad | EG</t>
        </is>
      </c>
      <c r="E290" t="inlineStr">
        <is>
          <t>UGC-Founder</t>
        </is>
      </c>
      <c r="F290" t="n">
        <v>937.9400000000001</v>
      </c>
      <c r="G290" s="20" t="n">
        <v>13737</v>
      </c>
      <c r="H290" s="21" t="n">
        <v>204</v>
      </c>
      <c r="I290" s="21" t="n">
        <v>4</v>
      </c>
      <c r="J290" s="21" t="n">
        <v>2699.98</v>
      </c>
    </row>
    <row r="291">
      <c r="A291" s="19" t="n">
        <v>46254</v>
      </c>
      <c r="B291" t="inlineStr">
        <is>
          <t>Meta</t>
        </is>
      </c>
      <c r="C291" t="inlineStr">
        <is>
          <t>STATIC | Bundle offer | v2</t>
        </is>
      </c>
      <c r="D291" t="inlineStr">
        <is>
          <t>Prospecting | Broad | EG</t>
        </is>
      </c>
      <c r="E291" t="inlineStr">
        <is>
          <t>Static-Bundle</t>
        </is>
      </c>
      <c r="F291" t="n">
        <v>676.29</v>
      </c>
      <c r="G291" s="20" t="n">
        <v>9905</v>
      </c>
      <c r="H291" s="21" t="n">
        <v>147</v>
      </c>
      <c r="I291" s="21" t="n">
        <v>2</v>
      </c>
      <c r="J291" s="21" t="n">
        <v>1322.19</v>
      </c>
    </row>
    <row r="292">
      <c r="A292" s="19" t="n">
        <v>46254</v>
      </c>
      <c r="B292" t="inlineStr">
        <is>
          <t>Meta</t>
        </is>
      </c>
      <c r="C292" t="inlineStr">
        <is>
          <t>VID | Founder story | v3</t>
        </is>
      </c>
      <c r="D292" t="inlineStr">
        <is>
          <t>Prospecting | Broad | EG</t>
        </is>
      </c>
      <c r="E292" t="inlineStr">
        <is>
          <t>UGC-Founder</t>
        </is>
      </c>
      <c r="F292" t="n">
        <v>510.91</v>
      </c>
      <c r="G292" s="20" t="n">
        <v>7483</v>
      </c>
      <c r="H292" s="21" t="n">
        <v>111</v>
      </c>
      <c r="I292" s="21" t="n">
        <v>2</v>
      </c>
      <c r="J292" s="21" t="n">
        <v>1230.1</v>
      </c>
    </row>
    <row r="293">
      <c r="A293" s="19" t="n">
        <v>46254</v>
      </c>
      <c r="B293" t="inlineStr">
        <is>
          <t>Meta</t>
        </is>
      </c>
      <c r="C293" t="inlineStr">
        <is>
          <t>VID | Review compilation | v1</t>
        </is>
      </c>
      <c r="D293" t="inlineStr">
        <is>
          <t>Prospecting | Interest | EG</t>
        </is>
      </c>
      <c r="E293" t="inlineStr">
        <is>
          <t>UGC-Reviews</t>
        </is>
      </c>
      <c r="F293" t="n">
        <v>457.91</v>
      </c>
      <c r="G293" s="20" t="n">
        <v>6707</v>
      </c>
      <c r="H293" s="21" t="n">
        <v>100</v>
      </c>
      <c r="I293" s="21" t="n">
        <v>2</v>
      </c>
      <c r="J293" s="21" t="n">
        <v>1169.13</v>
      </c>
    </row>
    <row r="294">
      <c r="A294" s="19" t="n">
        <v>46254</v>
      </c>
      <c r="B294" t="inlineStr">
        <is>
          <t>Meta</t>
        </is>
      </c>
      <c r="C294" t="inlineStr">
        <is>
          <t>STATIC | Bundle offer | v1</t>
        </is>
      </c>
      <c r="D294" t="inlineStr">
        <is>
          <t>Test | Broad | EG</t>
        </is>
      </c>
      <c r="E294" t="inlineStr">
        <is>
          <t>Static-Bundle</t>
        </is>
      </c>
      <c r="F294" t="n">
        <v>320.65</v>
      </c>
      <c r="G294" s="20" t="n">
        <v>4696</v>
      </c>
      <c r="H294" s="21" t="n">
        <v>70</v>
      </c>
      <c r="I294" s="21" t="n">
        <v>1</v>
      </c>
      <c r="J294" s="21" t="n">
        <v>697.37</v>
      </c>
    </row>
    <row r="295">
      <c r="A295" s="19" t="n">
        <v>46254</v>
      </c>
      <c r="B295" t="inlineStr">
        <is>
          <t>Meta</t>
        </is>
      </c>
      <c r="C295" t="inlineStr">
        <is>
          <t>STATIC | Discount 20% | v1</t>
        </is>
      </c>
      <c r="D295" t="inlineStr">
        <is>
          <t>Retargeting | 7d IC</t>
        </is>
      </c>
      <c r="E295" t="inlineStr">
        <is>
          <t>Static-Discount</t>
        </is>
      </c>
      <c r="F295" t="n">
        <v>216.81</v>
      </c>
      <c r="G295" s="20" t="n">
        <v>3175</v>
      </c>
      <c r="H295" s="21" t="n">
        <v>47</v>
      </c>
      <c r="I295" s="21" t="n">
        <v>2</v>
      </c>
      <c r="J295" s="21" t="n">
        <v>1189.27</v>
      </c>
    </row>
    <row r="296">
      <c r="A296" s="19" t="n">
        <v>46254</v>
      </c>
      <c r="B296" t="inlineStr">
        <is>
          <t>Meta</t>
        </is>
      </c>
      <c r="C296" t="inlineStr">
        <is>
          <t>CAROUSEL | Best sellers</t>
        </is>
      </c>
      <c r="D296" t="inlineStr">
        <is>
          <t>Retargeting | 14d ATC</t>
        </is>
      </c>
      <c r="E296" t="inlineStr">
        <is>
          <t>Carousel-Bestsellers</t>
        </is>
      </c>
      <c r="F296" t="n">
        <v>187.72</v>
      </c>
      <c r="G296" s="20" t="n">
        <v>2749</v>
      </c>
      <c r="H296" s="21" t="n">
        <v>41</v>
      </c>
      <c r="I296" s="21" t="n">
        <v>2</v>
      </c>
      <c r="J296" s="21" t="n">
        <v>1277.9</v>
      </c>
    </row>
    <row r="297">
      <c r="A297" s="19" t="n">
        <v>46254</v>
      </c>
      <c r="B297" t="inlineStr">
        <is>
          <t>Meta</t>
        </is>
      </c>
      <c r="C297" t="inlineStr">
        <is>
          <t>VID | Founder story | v1</t>
        </is>
      </c>
      <c r="D297" t="inlineStr">
        <is>
          <t>Prospecting | Broad | EG</t>
        </is>
      </c>
      <c r="E297" t="inlineStr">
        <is>
          <t>UGC-Founder</t>
        </is>
      </c>
      <c r="F297" t="n">
        <v>138.32</v>
      </c>
      <c r="G297" s="20" t="n">
        <v>2026</v>
      </c>
      <c r="H297" s="21" t="n">
        <v>30</v>
      </c>
      <c r="I297" s="21" t="n">
        <v>0</v>
      </c>
      <c r="J297" s="21" t="n">
        <v>0</v>
      </c>
    </row>
    <row r="298">
      <c r="A298" s="19" t="n">
        <v>46255</v>
      </c>
      <c r="B298" t="inlineStr">
        <is>
          <t>Meta</t>
        </is>
      </c>
      <c r="C298" t="inlineStr">
        <is>
          <t>VID | Founder story | v4</t>
        </is>
      </c>
      <c r="D298" t="inlineStr">
        <is>
          <t>Prospecting | Broad | EG</t>
        </is>
      </c>
      <c r="E298" t="inlineStr">
        <is>
          <t>UGC-Founder</t>
        </is>
      </c>
      <c r="F298" t="n">
        <v>962.75</v>
      </c>
      <c r="G298" s="20" t="n">
        <v>13274</v>
      </c>
      <c r="H298" s="21" t="n">
        <v>228</v>
      </c>
      <c r="I298" s="21" t="n">
        <v>4</v>
      </c>
      <c r="J298" s="21" t="n">
        <v>2617.12</v>
      </c>
    </row>
    <row r="299">
      <c r="A299" s="19" t="n">
        <v>46255</v>
      </c>
      <c r="B299" t="inlineStr">
        <is>
          <t>Meta</t>
        </is>
      </c>
      <c r="C299" t="inlineStr">
        <is>
          <t>STATIC | Bundle offer | v2</t>
        </is>
      </c>
      <c r="D299" t="inlineStr">
        <is>
          <t>Prospecting | Broad | EG</t>
        </is>
      </c>
      <c r="E299" t="inlineStr">
        <is>
          <t>Static-Bundle</t>
        </is>
      </c>
      <c r="F299" t="n">
        <v>732.29</v>
      </c>
      <c r="G299" s="20" t="n">
        <v>10096</v>
      </c>
      <c r="H299" s="21" t="n">
        <v>174</v>
      </c>
      <c r="I299" s="21" t="n">
        <v>3</v>
      </c>
      <c r="J299" s="21" t="n">
        <v>1960.45</v>
      </c>
    </row>
    <row r="300">
      <c r="A300" s="19" t="n">
        <v>46255</v>
      </c>
      <c r="B300" t="inlineStr">
        <is>
          <t>Meta</t>
        </is>
      </c>
      <c r="C300" t="inlineStr">
        <is>
          <t>VID | Founder story | v3</t>
        </is>
      </c>
      <c r="D300" t="inlineStr">
        <is>
          <t>Prospecting | Broad | EG</t>
        </is>
      </c>
      <c r="E300" t="inlineStr">
        <is>
          <t>UGC-Founder</t>
        </is>
      </c>
      <c r="F300" t="n">
        <v>585.6900000000001</v>
      </c>
      <c r="G300" s="20" t="n">
        <v>8075</v>
      </c>
      <c r="H300" s="21" t="n">
        <v>139</v>
      </c>
      <c r="I300" s="21" t="n">
        <v>2</v>
      </c>
      <c r="J300" s="21" t="n">
        <v>1319.93</v>
      </c>
    </row>
    <row r="301">
      <c r="A301" s="19" t="n">
        <v>46255</v>
      </c>
      <c r="B301" t="inlineStr">
        <is>
          <t>Meta</t>
        </is>
      </c>
      <c r="C301" t="inlineStr">
        <is>
          <t>VID | Review compilation | v1</t>
        </is>
      </c>
      <c r="D301" t="inlineStr">
        <is>
          <t>Prospecting | Interest | EG</t>
        </is>
      </c>
      <c r="E301" t="inlineStr">
        <is>
          <t>UGC-Reviews</t>
        </is>
      </c>
      <c r="F301" t="n">
        <v>475.59</v>
      </c>
      <c r="G301" s="20" t="n">
        <v>6557</v>
      </c>
      <c r="H301" s="21" t="n">
        <v>113</v>
      </c>
      <c r="I301" s="21" t="n">
        <v>2</v>
      </c>
      <c r="J301" s="21" t="n">
        <v>1515.65</v>
      </c>
    </row>
    <row r="302">
      <c r="A302" s="19" t="n">
        <v>46255</v>
      </c>
      <c r="B302" t="inlineStr">
        <is>
          <t>Meta</t>
        </is>
      </c>
      <c r="C302" t="inlineStr">
        <is>
          <t>STATIC | Bundle offer | v1</t>
        </is>
      </c>
      <c r="D302" t="inlineStr">
        <is>
          <t>Test | Broad | EG</t>
        </is>
      </c>
      <c r="E302" t="inlineStr">
        <is>
          <t>Static-Bundle</t>
        </is>
      </c>
      <c r="F302" t="n">
        <v>357.63</v>
      </c>
      <c r="G302" s="20" t="n">
        <v>4931</v>
      </c>
      <c r="H302" s="21" t="n">
        <v>85</v>
      </c>
      <c r="I302" s="21" t="n">
        <v>1</v>
      </c>
      <c r="J302" s="21" t="n">
        <v>700.5</v>
      </c>
    </row>
    <row r="303">
      <c r="A303" s="19" t="n">
        <v>46255</v>
      </c>
      <c r="B303" t="inlineStr">
        <is>
          <t>Meta</t>
        </is>
      </c>
      <c r="C303" t="inlineStr">
        <is>
          <t>STATIC | Discount 20% | v1</t>
        </is>
      </c>
      <c r="D303" t="inlineStr">
        <is>
          <t>Retargeting | 7d IC</t>
        </is>
      </c>
      <c r="E303" t="inlineStr">
        <is>
          <t>Static-Discount</t>
        </is>
      </c>
      <c r="F303" t="n">
        <v>267.69</v>
      </c>
      <c r="G303" s="20" t="n">
        <v>3691</v>
      </c>
      <c r="H303" s="21" t="n">
        <v>64</v>
      </c>
      <c r="I303" s="21" t="n">
        <v>2</v>
      </c>
      <c r="J303" s="21" t="n">
        <v>1323.33</v>
      </c>
    </row>
    <row r="304">
      <c r="A304" s="19" t="n">
        <v>46255</v>
      </c>
      <c r="B304" t="inlineStr">
        <is>
          <t>Meta</t>
        </is>
      </c>
      <c r="C304" t="inlineStr">
        <is>
          <t>CAROUSEL | Best sellers</t>
        </is>
      </c>
      <c r="D304" t="inlineStr">
        <is>
          <t>Retargeting | 14d ATC</t>
        </is>
      </c>
      <c r="E304" t="inlineStr">
        <is>
          <t>Carousel-Bestsellers</t>
        </is>
      </c>
      <c r="F304" t="n">
        <v>202.72</v>
      </c>
      <c r="G304" s="20" t="n">
        <v>2795</v>
      </c>
      <c r="H304" s="21" t="n">
        <v>48</v>
      </c>
      <c r="I304" s="21" t="n">
        <v>2</v>
      </c>
      <c r="J304" s="21" t="n">
        <v>1515.73</v>
      </c>
    </row>
    <row r="305">
      <c r="A305" s="19" t="n">
        <v>46255</v>
      </c>
      <c r="B305" t="inlineStr">
        <is>
          <t>Meta</t>
        </is>
      </c>
      <c r="C305" t="inlineStr">
        <is>
          <t>VID | Founder story | v1</t>
        </is>
      </c>
      <c r="D305" t="inlineStr">
        <is>
          <t>Prospecting | Broad | EG</t>
        </is>
      </c>
      <c r="E305" t="inlineStr">
        <is>
          <t>UGC-Founder</t>
        </is>
      </c>
      <c r="F305" t="n">
        <v>154.38</v>
      </c>
      <c r="G305" s="20" t="n">
        <v>2129</v>
      </c>
      <c r="H305" s="21" t="n">
        <v>37</v>
      </c>
      <c r="I305" s="21" t="n">
        <v>0</v>
      </c>
      <c r="J305" s="21" t="n">
        <v>0</v>
      </c>
    </row>
    <row r="306">
      <c r="A306" s="19" t="n">
        <v>46256</v>
      </c>
      <c r="B306" t="inlineStr">
        <is>
          <t>Meta</t>
        </is>
      </c>
      <c r="C306" t="inlineStr">
        <is>
          <t>VID | Founder story | v4</t>
        </is>
      </c>
      <c r="D306" t="inlineStr">
        <is>
          <t>Prospecting | Broad | EG</t>
        </is>
      </c>
      <c r="E306" t="inlineStr">
        <is>
          <t>UGC-Founder</t>
        </is>
      </c>
      <c r="F306" t="n">
        <v>1055.42</v>
      </c>
      <c r="G306" s="20" t="n">
        <v>15612</v>
      </c>
      <c r="H306" s="21" t="n">
        <v>249</v>
      </c>
      <c r="I306" s="21" t="n">
        <v>5</v>
      </c>
      <c r="J306" s="21" t="n">
        <v>3590.82</v>
      </c>
    </row>
    <row r="307">
      <c r="A307" s="19" t="n">
        <v>46256</v>
      </c>
      <c r="B307" t="inlineStr">
        <is>
          <t>Meta</t>
        </is>
      </c>
      <c r="C307" t="inlineStr">
        <is>
          <t>STATIC | Bundle offer | v2</t>
        </is>
      </c>
      <c r="D307" t="inlineStr">
        <is>
          <t>Prospecting | Broad | EG</t>
        </is>
      </c>
      <c r="E307" t="inlineStr">
        <is>
          <t>Static-Bundle</t>
        </is>
      </c>
      <c r="F307" t="n">
        <v>637.1</v>
      </c>
      <c r="G307" s="20" t="n">
        <v>9424</v>
      </c>
      <c r="H307" s="21" t="n">
        <v>151</v>
      </c>
      <c r="I307" s="21" t="n">
        <v>2</v>
      </c>
      <c r="J307" s="21" t="n">
        <v>1526.32</v>
      </c>
    </row>
    <row r="308">
      <c r="A308" s="19" t="n">
        <v>46256</v>
      </c>
      <c r="B308" t="inlineStr">
        <is>
          <t>Meta</t>
        </is>
      </c>
      <c r="C308" t="inlineStr">
        <is>
          <t>VID | Founder story | v3</t>
        </is>
      </c>
      <c r="D308" t="inlineStr">
        <is>
          <t>Prospecting | Broad | EG</t>
        </is>
      </c>
      <c r="E308" t="inlineStr">
        <is>
          <t>UGC-Founder</t>
        </is>
      </c>
      <c r="F308" t="n">
        <v>486.31</v>
      </c>
      <c r="G308" s="20" t="n">
        <v>7194</v>
      </c>
      <c r="H308" s="21" t="n">
        <v>115</v>
      </c>
      <c r="I308" s="21" t="n">
        <v>2</v>
      </c>
      <c r="J308" s="21" t="n">
        <v>1487.34</v>
      </c>
    </row>
    <row r="309">
      <c r="A309" s="19" t="n">
        <v>46256</v>
      </c>
      <c r="B309" t="inlineStr">
        <is>
          <t>Meta</t>
        </is>
      </c>
      <c r="C309" t="inlineStr">
        <is>
          <t>VID | Review compilation | v1</t>
        </is>
      </c>
      <c r="D309" t="inlineStr">
        <is>
          <t>Prospecting | Interest | EG</t>
        </is>
      </c>
      <c r="E309" t="inlineStr">
        <is>
          <t>UGC-Reviews</t>
        </is>
      </c>
      <c r="F309" t="n">
        <v>469.97</v>
      </c>
      <c r="G309" s="20" t="n">
        <v>6952</v>
      </c>
      <c r="H309" s="21" t="n">
        <v>111</v>
      </c>
      <c r="I309" s="21" t="n">
        <v>2</v>
      </c>
      <c r="J309" s="21" t="n">
        <v>1391.89</v>
      </c>
    </row>
    <row r="310">
      <c r="A310" s="19" t="n">
        <v>46256</v>
      </c>
      <c r="B310" t="inlineStr">
        <is>
          <t>Meta</t>
        </is>
      </c>
      <c r="C310" t="inlineStr">
        <is>
          <t>STATIC | Bundle offer | v1</t>
        </is>
      </c>
      <c r="D310" t="inlineStr">
        <is>
          <t>Test | Broad | EG</t>
        </is>
      </c>
      <c r="E310" t="inlineStr">
        <is>
          <t>Static-Bundle</t>
        </is>
      </c>
      <c r="F310" t="n">
        <v>340.23</v>
      </c>
      <c r="G310" s="20" t="n">
        <v>5033</v>
      </c>
      <c r="H310" s="21" t="n">
        <v>80</v>
      </c>
      <c r="I310" s="21" t="n">
        <v>1</v>
      </c>
      <c r="J310" s="21" t="n">
        <v>696.1</v>
      </c>
    </row>
    <row r="311">
      <c r="A311" s="19" t="n">
        <v>46256</v>
      </c>
      <c r="B311" t="inlineStr">
        <is>
          <t>Meta</t>
        </is>
      </c>
      <c r="C311" t="inlineStr">
        <is>
          <t>STATIC | Discount 20% | v1</t>
        </is>
      </c>
      <c r="D311" t="inlineStr">
        <is>
          <t>Retargeting | 7d IC</t>
        </is>
      </c>
      <c r="E311" t="inlineStr">
        <is>
          <t>Static-Discount</t>
        </is>
      </c>
      <c r="F311" t="n">
        <v>261.13</v>
      </c>
      <c r="G311" s="20" t="n">
        <v>3863</v>
      </c>
      <c r="H311" s="21" t="n">
        <v>62</v>
      </c>
      <c r="I311" s="21" t="n">
        <v>2</v>
      </c>
      <c r="J311" s="21" t="n">
        <v>1423.45</v>
      </c>
    </row>
    <row r="312">
      <c r="A312" s="19" t="n">
        <v>46256</v>
      </c>
      <c r="B312" t="inlineStr">
        <is>
          <t>Meta</t>
        </is>
      </c>
      <c r="C312" t="inlineStr">
        <is>
          <t>CAROUSEL | Best sellers</t>
        </is>
      </c>
      <c r="D312" t="inlineStr">
        <is>
          <t>Retargeting | 14d ATC</t>
        </is>
      </c>
      <c r="E312" t="inlineStr">
        <is>
          <t>Carousel-Bestsellers</t>
        </is>
      </c>
      <c r="F312" t="n">
        <v>192.04</v>
      </c>
      <c r="G312" s="20" t="n">
        <v>2841</v>
      </c>
      <c r="H312" s="21" t="n">
        <v>45</v>
      </c>
      <c r="I312" s="21" t="n">
        <v>2</v>
      </c>
      <c r="J312" s="21" t="n">
        <v>1381.72</v>
      </c>
    </row>
    <row r="313">
      <c r="A313" s="19" t="n">
        <v>46256</v>
      </c>
      <c r="B313" t="inlineStr">
        <is>
          <t>Meta</t>
        </is>
      </c>
      <c r="C313" t="inlineStr">
        <is>
          <t>VID | Founder story | v1</t>
        </is>
      </c>
      <c r="D313" t="inlineStr">
        <is>
          <t>Prospecting | Broad | EG</t>
        </is>
      </c>
      <c r="E313" t="inlineStr">
        <is>
          <t>UGC-Founder</t>
        </is>
      </c>
      <c r="F313" t="n">
        <v>154.59</v>
      </c>
      <c r="G313" s="20" t="n">
        <v>2287</v>
      </c>
      <c r="H313" s="21" t="n">
        <v>37</v>
      </c>
      <c r="I313" s="21" t="n">
        <v>0</v>
      </c>
      <c r="J313" s="21" t="n">
        <v>0</v>
      </c>
    </row>
    <row r="314">
      <c r="A314" s="19" t="n">
        <v>46257</v>
      </c>
      <c r="B314" t="inlineStr">
        <is>
          <t>Meta</t>
        </is>
      </c>
      <c r="C314" t="inlineStr">
        <is>
          <t>VID | Founder story | v4</t>
        </is>
      </c>
      <c r="D314" t="inlineStr">
        <is>
          <t>Prospecting | Broad | EG</t>
        </is>
      </c>
      <c r="E314" t="inlineStr">
        <is>
          <t>UGC-Founder</t>
        </is>
      </c>
      <c r="F314" t="n">
        <v>885.26</v>
      </c>
      <c r="G314" s="20" t="n">
        <v>12872</v>
      </c>
      <c r="H314" s="21" t="n">
        <v>203</v>
      </c>
      <c r="I314" s="21" t="n">
        <v>4</v>
      </c>
      <c r="J314" s="21" t="n">
        <v>2834.21</v>
      </c>
    </row>
    <row r="315">
      <c r="A315" s="19" t="n">
        <v>46257</v>
      </c>
      <c r="B315" t="inlineStr">
        <is>
          <t>Meta</t>
        </is>
      </c>
      <c r="C315" t="inlineStr">
        <is>
          <t>STATIC | Bundle offer | v2</t>
        </is>
      </c>
      <c r="D315" t="inlineStr">
        <is>
          <t>Prospecting | Broad | EG</t>
        </is>
      </c>
      <c r="E315" t="inlineStr">
        <is>
          <t>Static-Bundle</t>
        </is>
      </c>
      <c r="F315" t="n">
        <v>634.09</v>
      </c>
      <c r="G315" s="20" t="n">
        <v>9220</v>
      </c>
      <c r="H315" s="21" t="n">
        <v>145</v>
      </c>
      <c r="I315" s="21" t="n">
        <v>2</v>
      </c>
      <c r="J315" s="21" t="n">
        <v>1410.4</v>
      </c>
    </row>
    <row r="316">
      <c r="A316" s="19" t="n">
        <v>46257</v>
      </c>
      <c r="B316" t="inlineStr">
        <is>
          <t>Meta</t>
        </is>
      </c>
      <c r="C316" t="inlineStr">
        <is>
          <t>VID | Founder story | v3</t>
        </is>
      </c>
      <c r="D316" t="inlineStr">
        <is>
          <t>Prospecting | Broad | EG</t>
        </is>
      </c>
      <c r="E316" t="inlineStr">
        <is>
          <t>UGC-Founder</t>
        </is>
      </c>
      <c r="F316" t="n">
        <v>581.0700000000001</v>
      </c>
      <c r="G316" s="20" t="n">
        <v>8449</v>
      </c>
      <c r="H316" s="21" t="n">
        <v>133</v>
      </c>
      <c r="I316" s="21" t="n">
        <v>2</v>
      </c>
      <c r="J316" s="21" t="n">
        <v>1455.34</v>
      </c>
    </row>
    <row r="317">
      <c r="A317" s="19" t="n">
        <v>46257</v>
      </c>
      <c r="B317" t="inlineStr">
        <is>
          <t>Meta</t>
        </is>
      </c>
      <c r="C317" t="inlineStr">
        <is>
          <t>VID | Review compilation | v1</t>
        </is>
      </c>
      <c r="D317" t="inlineStr">
        <is>
          <t>Prospecting | Interest | EG</t>
        </is>
      </c>
      <c r="E317" t="inlineStr">
        <is>
          <t>UGC-Reviews</t>
        </is>
      </c>
      <c r="F317" t="n">
        <v>452.38</v>
      </c>
      <c r="G317" s="20" t="n">
        <v>6578</v>
      </c>
      <c r="H317" s="21" t="n">
        <v>104</v>
      </c>
      <c r="I317" s="21" t="n">
        <v>1</v>
      </c>
      <c r="J317" s="21" t="n">
        <v>734.52</v>
      </c>
    </row>
    <row r="318">
      <c r="A318" s="19" t="n">
        <v>46257</v>
      </c>
      <c r="B318" t="inlineStr">
        <is>
          <t>Meta</t>
        </is>
      </c>
      <c r="C318" t="inlineStr">
        <is>
          <t>STATIC | Bundle offer | v1</t>
        </is>
      </c>
      <c r="D318" t="inlineStr">
        <is>
          <t>Test | Broad | EG</t>
        </is>
      </c>
      <c r="E318" t="inlineStr">
        <is>
          <t>Static-Bundle</t>
        </is>
      </c>
      <c r="F318" t="n">
        <v>340.06</v>
      </c>
      <c r="G318" s="20" t="n">
        <v>4945</v>
      </c>
      <c r="H318" s="21" t="n">
        <v>78</v>
      </c>
      <c r="I318" s="21" t="n">
        <v>1</v>
      </c>
      <c r="J318" s="21" t="n">
        <v>809.97</v>
      </c>
    </row>
    <row r="319">
      <c r="A319" s="19" t="n">
        <v>46257</v>
      </c>
      <c r="B319" t="inlineStr">
        <is>
          <t>Meta</t>
        </is>
      </c>
      <c r="C319" t="inlineStr">
        <is>
          <t>STATIC | Discount 20% | v1</t>
        </is>
      </c>
      <c r="D319" t="inlineStr">
        <is>
          <t>Retargeting | 7d IC</t>
        </is>
      </c>
      <c r="E319" t="inlineStr">
        <is>
          <t>Static-Discount</t>
        </is>
      </c>
      <c r="F319" t="n">
        <v>294.11</v>
      </c>
      <c r="G319" s="20" t="n">
        <v>4276</v>
      </c>
      <c r="H319" s="21" t="n">
        <v>67</v>
      </c>
      <c r="I319" s="21" t="n">
        <v>2</v>
      </c>
      <c r="J319" s="21" t="n">
        <v>1588.68</v>
      </c>
    </row>
    <row r="320">
      <c r="A320" s="19" t="n">
        <v>46257</v>
      </c>
      <c r="B320" t="inlineStr">
        <is>
          <t>Meta</t>
        </is>
      </c>
      <c r="C320" t="inlineStr">
        <is>
          <t>CAROUSEL | Best sellers</t>
        </is>
      </c>
      <c r="D320" t="inlineStr">
        <is>
          <t>Retargeting | 14d ATC</t>
        </is>
      </c>
      <c r="E320" t="inlineStr">
        <is>
          <t>Carousel-Bestsellers</t>
        </is>
      </c>
      <c r="F320" t="n">
        <v>219.74</v>
      </c>
      <c r="G320" s="20" t="n">
        <v>3195</v>
      </c>
      <c r="H320" s="21" t="n">
        <v>50</v>
      </c>
      <c r="I320" s="21" t="n">
        <v>2</v>
      </c>
      <c r="J320" s="21" t="n">
        <v>1595.87</v>
      </c>
    </row>
    <row r="321">
      <c r="A321" s="19" t="n">
        <v>46257</v>
      </c>
      <c r="B321" t="inlineStr">
        <is>
          <t>Meta</t>
        </is>
      </c>
      <c r="C321" t="inlineStr">
        <is>
          <t>VID | Founder story | v1</t>
        </is>
      </c>
      <c r="D321" t="inlineStr">
        <is>
          <t>Prospecting | Broad | EG</t>
        </is>
      </c>
      <c r="E321" t="inlineStr">
        <is>
          <t>UGC-Founder</t>
        </is>
      </c>
      <c r="F321" t="n">
        <v>145.03</v>
      </c>
      <c r="G321" s="20" t="n">
        <v>2109</v>
      </c>
      <c r="H321" s="21" t="n">
        <v>33</v>
      </c>
      <c r="I321" s="21" t="n">
        <v>0</v>
      </c>
      <c r="J321" s="21" t="n">
        <v>0</v>
      </c>
    </row>
    <row r="322">
      <c r="A322" s="19" t="n">
        <v>46258</v>
      </c>
      <c r="B322" t="inlineStr">
        <is>
          <t>Meta</t>
        </is>
      </c>
      <c r="C322" t="inlineStr">
        <is>
          <t>VID | Founder story | v4</t>
        </is>
      </c>
      <c r="D322" t="inlineStr">
        <is>
          <t>Prospecting | Broad | EG</t>
        </is>
      </c>
      <c r="E322" t="inlineStr">
        <is>
          <t>UGC-Founder</t>
        </is>
      </c>
      <c r="F322" t="n">
        <v>714.1</v>
      </c>
      <c r="G322" s="20" t="n">
        <v>10298</v>
      </c>
      <c r="H322" s="21" t="n">
        <v>171</v>
      </c>
      <c r="I322" s="21" t="n">
        <v>4</v>
      </c>
      <c r="J322" s="21" t="n">
        <v>2978.41</v>
      </c>
    </row>
    <row r="323">
      <c r="A323" s="19" t="n">
        <v>46258</v>
      </c>
      <c r="B323" t="inlineStr">
        <is>
          <t>Meta</t>
        </is>
      </c>
      <c r="C323" t="inlineStr">
        <is>
          <t>STATIC | Bundle offer | v2</t>
        </is>
      </c>
      <c r="D323" t="inlineStr">
        <is>
          <t>Prospecting | Broad | EG</t>
        </is>
      </c>
      <c r="E323" t="inlineStr">
        <is>
          <t>Static-Bundle</t>
        </is>
      </c>
      <c r="F323" t="n">
        <v>588.58</v>
      </c>
      <c r="G323" s="20" t="n">
        <v>8488</v>
      </c>
      <c r="H323" s="21" t="n">
        <v>141</v>
      </c>
      <c r="I323" s="21" t="n">
        <v>3</v>
      </c>
      <c r="J323" s="21" t="n">
        <v>2246.34</v>
      </c>
    </row>
    <row r="324">
      <c r="A324" s="19" t="n">
        <v>46258</v>
      </c>
      <c r="B324" t="inlineStr">
        <is>
          <t>Meta</t>
        </is>
      </c>
      <c r="C324" t="inlineStr">
        <is>
          <t>VID | Founder story | v3</t>
        </is>
      </c>
      <c r="D324" t="inlineStr">
        <is>
          <t>Prospecting | Broad | EG</t>
        </is>
      </c>
      <c r="E324" t="inlineStr">
        <is>
          <t>UGC-Founder</t>
        </is>
      </c>
      <c r="F324" t="n">
        <v>464.63</v>
      </c>
      <c r="G324" s="20" t="n">
        <v>6700</v>
      </c>
      <c r="H324" s="21" t="n">
        <v>111</v>
      </c>
      <c r="I324" s="21" t="n">
        <v>2</v>
      </c>
      <c r="J324" s="21" t="n">
        <v>1530.21</v>
      </c>
    </row>
    <row r="325">
      <c r="A325" s="19" t="n">
        <v>46258</v>
      </c>
      <c r="B325" t="inlineStr">
        <is>
          <t>Meta</t>
        </is>
      </c>
      <c r="C325" t="inlineStr">
        <is>
          <t>VID | Review compilation | v1</t>
        </is>
      </c>
      <c r="D325" t="inlineStr">
        <is>
          <t>Prospecting | Interest | EG</t>
        </is>
      </c>
      <c r="E325" t="inlineStr">
        <is>
          <t>UGC-Reviews</t>
        </is>
      </c>
      <c r="F325" t="n">
        <v>412</v>
      </c>
      <c r="G325" s="20" t="n">
        <v>5941</v>
      </c>
      <c r="H325" s="21" t="n">
        <v>98</v>
      </c>
      <c r="I325" s="21" t="n">
        <v>2</v>
      </c>
      <c r="J325" s="21" t="n">
        <v>1327.82</v>
      </c>
    </row>
    <row r="326">
      <c r="A326" s="19" t="n">
        <v>46258</v>
      </c>
      <c r="B326" t="inlineStr">
        <is>
          <t>Meta</t>
        </is>
      </c>
      <c r="C326" t="inlineStr">
        <is>
          <t>STATIC | Bundle offer | v1</t>
        </is>
      </c>
      <c r="D326" t="inlineStr">
        <is>
          <t>Test | Broad | EG</t>
        </is>
      </c>
      <c r="E326" t="inlineStr">
        <is>
          <t>Static-Bundle</t>
        </is>
      </c>
      <c r="F326" t="n">
        <v>284.13</v>
      </c>
      <c r="G326" s="20" t="n">
        <v>4097</v>
      </c>
      <c r="H326" s="21" t="n">
        <v>68</v>
      </c>
      <c r="I326" s="21" t="n">
        <v>1</v>
      </c>
      <c r="J326" s="21" t="n">
        <v>644.42</v>
      </c>
    </row>
    <row r="327">
      <c r="A327" s="19" t="n">
        <v>46258</v>
      </c>
      <c r="B327" t="inlineStr">
        <is>
          <t>Meta</t>
        </is>
      </c>
      <c r="C327" t="inlineStr">
        <is>
          <t>STATIC | Discount 20% | v1</t>
        </is>
      </c>
      <c r="D327" t="inlineStr">
        <is>
          <t>Retargeting | 7d IC</t>
        </is>
      </c>
      <c r="E327" t="inlineStr">
        <is>
          <t>Static-Discount</t>
        </is>
      </c>
      <c r="F327" t="n">
        <v>196.14</v>
      </c>
      <c r="G327" s="20" t="n">
        <v>2828</v>
      </c>
      <c r="H327" s="21" t="n">
        <v>47</v>
      </c>
      <c r="I327" s="21" t="n">
        <v>2</v>
      </c>
      <c r="J327" s="21" t="n">
        <v>1301.51</v>
      </c>
    </row>
    <row r="328">
      <c r="A328" s="19" t="n">
        <v>46258</v>
      </c>
      <c r="B328" t="inlineStr">
        <is>
          <t>Meta</t>
        </is>
      </c>
      <c r="C328" t="inlineStr">
        <is>
          <t>CAROUSEL | Best sellers</t>
        </is>
      </c>
      <c r="D328" t="inlineStr">
        <is>
          <t>Retargeting | 14d ATC</t>
        </is>
      </c>
      <c r="E328" t="inlineStr">
        <is>
          <t>Carousel-Bestsellers</t>
        </is>
      </c>
      <c r="F328" t="n">
        <v>156.26</v>
      </c>
      <c r="G328" s="20" t="n">
        <v>2253</v>
      </c>
      <c r="H328" s="21" t="n">
        <v>37</v>
      </c>
      <c r="I328" s="21" t="n">
        <v>2</v>
      </c>
      <c r="J328" s="21" t="n">
        <v>1404.41</v>
      </c>
    </row>
    <row r="329">
      <c r="A329" s="19" t="n">
        <v>46258</v>
      </c>
      <c r="B329" t="inlineStr">
        <is>
          <t>Meta</t>
        </is>
      </c>
      <c r="C329" t="inlineStr">
        <is>
          <t>VID | Founder story | v1</t>
        </is>
      </c>
      <c r="D329" t="inlineStr">
        <is>
          <t>Prospecting | Broad | EG</t>
        </is>
      </c>
      <c r="E329" t="inlineStr">
        <is>
          <t>UGC-Founder</t>
        </is>
      </c>
      <c r="F329" t="n">
        <v>145.76</v>
      </c>
      <c r="G329" s="20" t="n">
        <v>2102</v>
      </c>
      <c r="H329" s="21" t="n">
        <v>35</v>
      </c>
      <c r="I329" s="21" t="n">
        <v>0</v>
      </c>
      <c r="J329" s="21" t="n">
        <v>0</v>
      </c>
    </row>
    <row r="330">
      <c r="A330" s="19" t="n">
        <v>46259</v>
      </c>
      <c r="B330" t="inlineStr">
        <is>
          <t>Meta</t>
        </is>
      </c>
      <c r="C330" t="inlineStr">
        <is>
          <t>VID | Founder story | v4</t>
        </is>
      </c>
      <c r="D330" t="inlineStr">
        <is>
          <t>Prospecting | Broad | EG</t>
        </is>
      </c>
      <c r="E330" t="inlineStr">
        <is>
          <t>UGC-Founder</t>
        </is>
      </c>
      <c r="F330" t="n">
        <v>938.46</v>
      </c>
      <c r="G330" s="20" t="n">
        <v>13841</v>
      </c>
      <c r="H330" s="21" t="n">
        <v>219</v>
      </c>
      <c r="I330" s="21" t="n">
        <v>4</v>
      </c>
      <c r="J330" s="21" t="n">
        <v>2723.42</v>
      </c>
    </row>
    <row r="331">
      <c r="A331" s="19" t="n">
        <v>46259</v>
      </c>
      <c r="B331" t="inlineStr">
        <is>
          <t>Meta</t>
        </is>
      </c>
      <c r="C331" t="inlineStr">
        <is>
          <t>STATIC | Bundle offer | v2</t>
        </is>
      </c>
      <c r="D331" t="inlineStr">
        <is>
          <t>Prospecting | Broad | EG</t>
        </is>
      </c>
      <c r="E331" t="inlineStr">
        <is>
          <t>Static-Bundle</t>
        </is>
      </c>
      <c r="F331" t="n">
        <v>589.22</v>
      </c>
      <c r="G331" s="20" t="n">
        <v>8690</v>
      </c>
      <c r="H331" s="21" t="n">
        <v>137</v>
      </c>
      <c r="I331" s="21" t="n">
        <v>2</v>
      </c>
      <c r="J331" s="21" t="n">
        <v>1559.48</v>
      </c>
    </row>
    <row r="332">
      <c r="A332" s="19" t="n">
        <v>46259</v>
      </c>
      <c r="B332" t="inlineStr">
        <is>
          <t>Meta</t>
        </is>
      </c>
      <c r="C332" t="inlineStr">
        <is>
          <t>VID | Founder story | v3</t>
        </is>
      </c>
      <c r="D332" t="inlineStr">
        <is>
          <t>Prospecting | Broad | EG</t>
        </is>
      </c>
      <c r="E332" t="inlineStr">
        <is>
          <t>UGC-Founder</t>
        </is>
      </c>
      <c r="F332" t="n">
        <v>432.67</v>
      </c>
      <c r="G332" s="20" t="n">
        <v>6381</v>
      </c>
      <c r="H332" s="21" t="n">
        <v>101</v>
      </c>
      <c r="I332" s="21" t="n">
        <v>1</v>
      </c>
      <c r="J332" s="21" t="n">
        <v>740.26</v>
      </c>
    </row>
    <row r="333">
      <c r="A333" s="19" t="n">
        <v>46259</v>
      </c>
      <c r="B333" t="inlineStr">
        <is>
          <t>Meta</t>
        </is>
      </c>
      <c r="C333" t="inlineStr">
        <is>
          <t>VID | Review compilation | v1</t>
        </is>
      </c>
      <c r="D333" t="inlineStr">
        <is>
          <t>Prospecting | Interest | EG</t>
        </is>
      </c>
      <c r="E333" t="inlineStr">
        <is>
          <t>UGC-Reviews</t>
        </is>
      </c>
      <c r="F333" t="n">
        <v>447.27</v>
      </c>
      <c r="G333" s="20" t="n">
        <v>6597</v>
      </c>
      <c r="H333" s="21" t="n">
        <v>104</v>
      </c>
      <c r="I333" s="21" t="n">
        <v>2</v>
      </c>
      <c r="J333" s="21" t="n">
        <v>1382.2</v>
      </c>
    </row>
    <row r="334">
      <c r="A334" s="19" t="n">
        <v>46259</v>
      </c>
      <c r="B334" t="inlineStr">
        <is>
          <t>Meta</t>
        </is>
      </c>
      <c r="C334" t="inlineStr">
        <is>
          <t>STATIC | Bundle offer | v1</t>
        </is>
      </c>
      <c r="D334" t="inlineStr">
        <is>
          <t>Test | Broad | EG</t>
        </is>
      </c>
      <c r="E334" t="inlineStr">
        <is>
          <t>Static-Bundle</t>
        </is>
      </c>
      <c r="F334" t="n">
        <v>272.7</v>
      </c>
      <c r="G334" s="20" t="n">
        <v>4022</v>
      </c>
      <c r="H334" s="21" t="n">
        <v>64</v>
      </c>
      <c r="I334" s="21" t="n">
        <v>1</v>
      </c>
      <c r="J334" s="21" t="n">
        <v>665.8</v>
      </c>
    </row>
    <row r="335">
      <c r="A335" s="19" t="n">
        <v>46259</v>
      </c>
      <c r="B335" t="inlineStr">
        <is>
          <t>Meta</t>
        </is>
      </c>
      <c r="C335" t="inlineStr">
        <is>
          <t>STATIC | Discount 20% | v1</t>
        </is>
      </c>
      <c r="D335" t="inlineStr">
        <is>
          <t>Retargeting | 7d IC</t>
        </is>
      </c>
      <c r="E335" t="inlineStr">
        <is>
          <t>Static-Discount</t>
        </is>
      </c>
      <c r="F335" t="n">
        <v>233.75</v>
      </c>
      <c r="G335" s="20" t="n">
        <v>3448</v>
      </c>
      <c r="H335" s="21" t="n">
        <v>54</v>
      </c>
      <c r="I335" s="21" t="n">
        <v>2</v>
      </c>
      <c r="J335" s="21" t="n">
        <v>1367.24</v>
      </c>
    </row>
    <row r="336">
      <c r="A336" s="19" t="n">
        <v>46259</v>
      </c>
      <c r="B336" t="inlineStr">
        <is>
          <t>Meta</t>
        </is>
      </c>
      <c r="C336" t="inlineStr">
        <is>
          <t>CAROUSEL | Best sellers</t>
        </is>
      </c>
      <c r="D336" t="inlineStr">
        <is>
          <t>Retargeting | 14d ATC</t>
        </is>
      </c>
      <c r="E336" t="inlineStr">
        <is>
          <t>Carousel-Bestsellers</t>
        </is>
      </c>
      <c r="F336" t="n">
        <v>138.88</v>
      </c>
      <c r="G336" s="20" t="n">
        <v>2048</v>
      </c>
      <c r="H336" s="21" t="n">
        <v>32</v>
      </c>
      <c r="I336" s="21" t="n">
        <v>1</v>
      </c>
      <c r="J336" s="21" t="n">
        <v>738.9299999999999</v>
      </c>
    </row>
    <row r="337">
      <c r="A337" s="19" t="n">
        <v>46259</v>
      </c>
      <c r="B337" t="inlineStr">
        <is>
          <t>Meta</t>
        </is>
      </c>
      <c r="C337" t="inlineStr">
        <is>
          <t>VID | Founder story | v1</t>
        </is>
      </c>
      <c r="D337" t="inlineStr">
        <is>
          <t>Prospecting | Broad | EG</t>
        </is>
      </c>
      <c r="E337" t="inlineStr">
        <is>
          <t>UGC-Founder</t>
        </is>
      </c>
      <c r="F337" t="n">
        <v>139.83</v>
      </c>
      <c r="G337" s="20" t="n">
        <v>2062</v>
      </c>
      <c r="H337" s="21" t="n">
        <v>33</v>
      </c>
      <c r="I337" s="21" t="n">
        <v>0</v>
      </c>
      <c r="J337" s="21" t="n">
        <v>0</v>
      </c>
    </row>
    <row r="338">
      <c r="A338" s="19" t="n">
        <v>46260</v>
      </c>
      <c r="B338" t="inlineStr">
        <is>
          <t>Meta</t>
        </is>
      </c>
      <c r="C338" t="inlineStr">
        <is>
          <t>VID | Founder story | v4</t>
        </is>
      </c>
      <c r="D338" t="inlineStr">
        <is>
          <t>Prospecting | Broad | EG</t>
        </is>
      </c>
      <c r="E338" t="inlineStr">
        <is>
          <t>UGC-Founder</t>
        </is>
      </c>
      <c r="F338" t="n">
        <v>771.26</v>
      </c>
      <c r="G338" s="20" t="n">
        <v>10428</v>
      </c>
      <c r="H338" s="21" t="n">
        <v>190</v>
      </c>
      <c r="I338" s="21" t="n">
        <v>4</v>
      </c>
      <c r="J338" s="21" t="n">
        <v>2751.34</v>
      </c>
    </row>
    <row r="339">
      <c r="A339" s="19" t="n">
        <v>46260</v>
      </c>
      <c r="B339" t="inlineStr">
        <is>
          <t>Meta</t>
        </is>
      </c>
      <c r="C339" t="inlineStr">
        <is>
          <t>STATIC | Bundle offer | v2</t>
        </is>
      </c>
      <c r="D339" t="inlineStr">
        <is>
          <t>Prospecting | Broad | EG</t>
        </is>
      </c>
      <c r="E339" t="inlineStr">
        <is>
          <t>Static-Bundle</t>
        </is>
      </c>
      <c r="F339" t="n">
        <v>506.88</v>
      </c>
      <c r="G339" s="20" t="n">
        <v>6854</v>
      </c>
      <c r="H339" s="21" t="n">
        <v>125</v>
      </c>
      <c r="I339" s="21" t="n">
        <v>2</v>
      </c>
      <c r="J339" s="21" t="n">
        <v>1421.27</v>
      </c>
    </row>
    <row r="340">
      <c r="A340" s="19" t="n">
        <v>46260</v>
      </c>
      <c r="B340" t="inlineStr">
        <is>
          <t>Meta</t>
        </is>
      </c>
      <c r="C340" t="inlineStr">
        <is>
          <t>VID | Founder story | v3</t>
        </is>
      </c>
      <c r="D340" t="inlineStr">
        <is>
          <t>Prospecting | Broad | EG</t>
        </is>
      </c>
      <c r="E340" t="inlineStr">
        <is>
          <t>UGC-Founder</t>
        </is>
      </c>
      <c r="F340" t="n">
        <v>439.61</v>
      </c>
      <c r="G340" s="20" t="n">
        <v>5944</v>
      </c>
      <c r="H340" s="21" t="n">
        <v>108</v>
      </c>
      <c r="I340" s="21" t="n">
        <v>2</v>
      </c>
      <c r="J340" s="21" t="n">
        <v>1564.02</v>
      </c>
    </row>
    <row r="341">
      <c r="A341" s="19" t="n">
        <v>46260</v>
      </c>
      <c r="B341" t="inlineStr">
        <is>
          <t>Meta</t>
        </is>
      </c>
      <c r="C341" t="inlineStr">
        <is>
          <t>VID | Review compilation | v1</t>
        </is>
      </c>
      <c r="D341" t="inlineStr">
        <is>
          <t>Prospecting | Interest | EG</t>
        </is>
      </c>
      <c r="E341" t="inlineStr">
        <is>
          <t>UGC-Reviews</t>
        </is>
      </c>
      <c r="F341" t="n">
        <v>447.26</v>
      </c>
      <c r="G341" s="20" t="n">
        <v>6047</v>
      </c>
      <c r="H341" s="21" t="n">
        <v>110</v>
      </c>
      <c r="I341" s="21" t="n">
        <v>2</v>
      </c>
      <c r="J341" s="21" t="n">
        <v>1473.96</v>
      </c>
    </row>
    <row r="342">
      <c r="A342" s="19" t="n">
        <v>46260</v>
      </c>
      <c r="B342" t="inlineStr">
        <is>
          <t>Meta</t>
        </is>
      </c>
      <c r="C342" t="inlineStr">
        <is>
          <t>STATIC | Bundle offer | v1</t>
        </is>
      </c>
      <c r="D342" t="inlineStr">
        <is>
          <t>Test | Broad | EG</t>
        </is>
      </c>
      <c r="E342" t="inlineStr">
        <is>
          <t>Static-Bundle</t>
        </is>
      </c>
      <c r="F342" t="n">
        <v>281.17</v>
      </c>
      <c r="G342" s="20" t="n">
        <v>3802</v>
      </c>
      <c r="H342" s="21" t="n">
        <v>69</v>
      </c>
      <c r="I342" s="21" t="n">
        <v>1</v>
      </c>
      <c r="J342" s="21" t="n">
        <v>771.24</v>
      </c>
    </row>
    <row r="343">
      <c r="A343" s="19" t="n">
        <v>46260</v>
      </c>
      <c r="B343" t="inlineStr">
        <is>
          <t>Meta</t>
        </is>
      </c>
      <c r="C343" t="inlineStr">
        <is>
          <t>STATIC | Discount 20% | v1</t>
        </is>
      </c>
      <c r="D343" t="inlineStr">
        <is>
          <t>Retargeting | 7d IC</t>
        </is>
      </c>
      <c r="E343" t="inlineStr">
        <is>
          <t>Static-Discount</t>
        </is>
      </c>
      <c r="F343" t="n">
        <v>222.34</v>
      </c>
      <c r="G343" s="20" t="n">
        <v>3006</v>
      </c>
      <c r="H343" s="21" t="n">
        <v>55</v>
      </c>
      <c r="I343" s="21" t="n">
        <v>2</v>
      </c>
      <c r="J343" s="21" t="n">
        <v>1425.46</v>
      </c>
    </row>
    <row r="344">
      <c r="A344" s="19" t="n">
        <v>46260</v>
      </c>
      <c r="B344" t="inlineStr">
        <is>
          <t>Meta</t>
        </is>
      </c>
      <c r="C344" t="inlineStr">
        <is>
          <t>CAROUSEL | Best sellers</t>
        </is>
      </c>
      <c r="D344" t="inlineStr">
        <is>
          <t>Retargeting | 14d ATC</t>
        </is>
      </c>
      <c r="E344" t="inlineStr">
        <is>
          <t>Carousel-Bestsellers</t>
        </is>
      </c>
      <c r="F344" t="n">
        <v>174.86</v>
      </c>
      <c r="G344" s="20" t="n">
        <v>2364</v>
      </c>
      <c r="H344" s="21" t="n">
        <v>43</v>
      </c>
      <c r="I344" s="21" t="n">
        <v>1</v>
      </c>
      <c r="J344" s="21" t="n">
        <v>678.27</v>
      </c>
    </row>
    <row r="345">
      <c r="A345" s="19" t="n">
        <v>46260</v>
      </c>
      <c r="B345" t="inlineStr">
        <is>
          <t>Meta</t>
        </is>
      </c>
      <c r="C345" t="inlineStr">
        <is>
          <t>VID | Founder story | v1</t>
        </is>
      </c>
      <c r="D345" t="inlineStr">
        <is>
          <t>Prospecting | Broad | EG</t>
        </is>
      </c>
      <c r="E345" t="inlineStr">
        <is>
          <t>UGC-Founder</t>
        </is>
      </c>
      <c r="F345" t="n">
        <v>115.83</v>
      </c>
      <c r="G345" s="20" t="n">
        <v>1566</v>
      </c>
      <c r="H345" s="21" t="n">
        <v>28</v>
      </c>
      <c r="I345" s="21" t="n">
        <v>0</v>
      </c>
      <c r="J345" s="21" t="n">
        <v>0</v>
      </c>
    </row>
    <row r="346">
      <c r="A346" s="19" t="n">
        <v>46261</v>
      </c>
      <c r="B346" t="inlineStr">
        <is>
          <t>Meta</t>
        </is>
      </c>
      <c r="C346" t="inlineStr">
        <is>
          <t>VID | Founder story | v4</t>
        </is>
      </c>
      <c r="D346" t="inlineStr">
        <is>
          <t>Prospecting | Broad | EG</t>
        </is>
      </c>
      <c r="E346" t="inlineStr">
        <is>
          <t>UGC-Founder</t>
        </is>
      </c>
      <c r="F346" t="n">
        <v>1030.63</v>
      </c>
      <c r="G346" s="20" t="n">
        <v>15061</v>
      </c>
      <c r="H346" s="21" t="n">
        <v>214</v>
      </c>
      <c r="I346" s="21" t="n">
        <v>5</v>
      </c>
      <c r="J346" s="21" t="n">
        <v>3720</v>
      </c>
    </row>
    <row r="347">
      <c r="A347" s="19" t="n">
        <v>46261</v>
      </c>
      <c r="B347" t="inlineStr">
        <is>
          <t>Meta</t>
        </is>
      </c>
      <c r="C347" t="inlineStr">
        <is>
          <t>STATIC | Bundle offer | v2</t>
        </is>
      </c>
      <c r="D347" t="inlineStr">
        <is>
          <t>Prospecting | Broad | EG</t>
        </is>
      </c>
      <c r="E347" t="inlineStr">
        <is>
          <t>Static-Bundle</t>
        </is>
      </c>
      <c r="F347" t="n">
        <v>640.73</v>
      </c>
      <c r="G347" s="20" t="n">
        <v>9363</v>
      </c>
      <c r="H347" s="21" t="n">
        <v>133</v>
      </c>
      <c r="I347" s="21" t="n">
        <v>2</v>
      </c>
      <c r="J347" s="21" t="n">
        <v>1562.24</v>
      </c>
    </row>
    <row r="348">
      <c r="A348" s="19" t="n">
        <v>46261</v>
      </c>
      <c r="B348" t="inlineStr">
        <is>
          <t>Meta</t>
        </is>
      </c>
      <c r="C348" t="inlineStr">
        <is>
          <t>VID | Founder story | v3</t>
        </is>
      </c>
      <c r="D348" t="inlineStr">
        <is>
          <t>Prospecting | Broad | EG</t>
        </is>
      </c>
      <c r="E348" t="inlineStr">
        <is>
          <t>UGC-Founder</t>
        </is>
      </c>
      <c r="F348" t="n">
        <v>426.59</v>
      </c>
      <c r="G348" s="20" t="n">
        <v>6234</v>
      </c>
      <c r="H348" s="21" t="n">
        <v>89</v>
      </c>
      <c r="I348" s="21" t="n">
        <v>2</v>
      </c>
      <c r="J348" s="21" t="n">
        <v>1361.13</v>
      </c>
    </row>
    <row r="349">
      <c r="A349" s="19" t="n">
        <v>46261</v>
      </c>
      <c r="B349" t="inlineStr">
        <is>
          <t>Meta</t>
        </is>
      </c>
      <c r="C349" t="inlineStr">
        <is>
          <t>VID | Review compilation | v1</t>
        </is>
      </c>
      <c r="D349" t="inlineStr">
        <is>
          <t>Prospecting | Interest | EG</t>
        </is>
      </c>
      <c r="E349" t="inlineStr">
        <is>
          <t>UGC-Reviews</t>
        </is>
      </c>
      <c r="F349" t="n">
        <v>387.8</v>
      </c>
      <c r="G349" s="20" t="n">
        <v>5667</v>
      </c>
      <c r="H349" s="21" t="n">
        <v>81</v>
      </c>
      <c r="I349" s="21" t="n">
        <v>2</v>
      </c>
      <c r="J349" s="21" t="n">
        <v>1305.65</v>
      </c>
    </row>
    <row r="350">
      <c r="A350" s="19" t="n">
        <v>46261</v>
      </c>
      <c r="B350" t="inlineStr">
        <is>
          <t>Meta</t>
        </is>
      </c>
      <c r="C350" t="inlineStr">
        <is>
          <t>STATIC | Bundle offer | v1</t>
        </is>
      </c>
      <c r="D350" t="inlineStr">
        <is>
          <t>Test | Broad | EG</t>
        </is>
      </c>
      <c r="E350" t="inlineStr">
        <is>
          <t>Static-Bundle</t>
        </is>
      </c>
      <c r="F350" t="n">
        <v>301.68</v>
      </c>
      <c r="G350" s="20" t="n">
        <v>4409</v>
      </c>
      <c r="H350" s="21" t="n">
        <v>63</v>
      </c>
      <c r="I350" s="21" t="n">
        <v>1</v>
      </c>
      <c r="J350" s="21" t="n">
        <v>696.59</v>
      </c>
    </row>
    <row r="351">
      <c r="A351" s="19" t="n">
        <v>46261</v>
      </c>
      <c r="B351" t="inlineStr">
        <is>
          <t>Meta</t>
        </is>
      </c>
      <c r="C351" t="inlineStr">
        <is>
          <t>STATIC | Discount 20% | v1</t>
        </is>
      </c>
      <c r="D351" t="inlineStr">
        <is>
          <t>Retargeting | 7d IC</t>
        </is>
      </c>
      <c r="E351" t="inlineStr">
        <is>
          <t>Static-Discount</t>
        </is>
      </c>
      <c r="F351" t="n">
        <v>264.69</v>
      </c>
      <c r="G351" s="20" t="n">
        <v>3868</v>
      </c>
      <c r="H351" s="21" t="n">
        <v>55</v>
      </c>
      <c r="I351" s="21" t="n">
        <v>2</v>
      </c>
      <c r="J351" s="21" t="n">
        <v>1416.93</v>
      </c>
    </row>
    <row r="352">
      <c r="A352" s="19" t="n">
        <v>46261</v>
      </c>
      <c r="B352" t="inlineStr">
        <is>
          <t>Meta</t>
        </is>
      </c>
      <c r="C352" t="inlineStr">
        <is>
          <t>CAROUSEL | Best sellers</t>
        </is>
      </c>
      <c r="D352" t="inlineStr">
        <is>
          <t>Retargeting | 14d ATC</t>
        </is>
      </c>
      <c r="E352" t="inlineStr">
        <is>
          <t>Carousel-Bestsellers</t>
        </is>
      </c>
      <c r="F352" t="n">
        <v>171.84</v>
      </c>
      <c r="G352" s="20" t="n">
        <v>2511</v>
      </c>
      <c r="H352" s="21" t="n">
        <v>36</v>
      </c>
      <c r="I352" s="21" t="n">
        <v>1</v>
      </c>
      <c r="J352" s="21" t="n">
        <v>746.1900000000001</v>
      </c>
    </row>
    <row r="353">
      <c r="A353" s="19" t="n">
        <v>46261</v>
      </c>
      <c r="B353" t="inlineStr">
        <is>
          <t>Meta</t>
        </is>
      </c>
      <c r="C353" t="inlineStr">
        <is>
          <t>VID | Founder story | v1</t>
        </is>
      </c>
      <c r="D353" t="inlineStr">
        <is>
          <t>Prospecting | Broad | EG</t>
        </is>
      </c>
      <c r="E353" t="inlineStr">
        <is>
          <t>UGC-Founder</t>
        </is>
      </c>
      <c r="F353" t="n">
        <v>130.6</v>
      </c>
      <c r="G353" s="20" t="n">
        <v>1909</v>
      </c>
      <c r="H353" s="21" t="n">
        <v>27</v>
      </c>
      <c r="I353" s="21" t="n">
        <v>0</v>
      </c>
      <c r="J353" s="21" t="n">
        <v>0</v>
      </c>
    </row>
    <row r="354">
      <c r="A354" s="19" t="n">
        <v>46262</v>
      </c>
      <c r="B354" t="inlineStr">
        <is>
          <t>Meta</t>
        </is>
      </c>
      <c r="C354" t="inlineStr">
        <is>
          <t>VID | Founder story | v4</t>
        </is>
      </c>
      <c r="D354" t="inlineStr">
        <is>
          <t>Prospecting | Broad | EG</t>
        </is>
      </c>
      <c r="E354" t="inlineStr">
        <is>
          <t>UGC-Founder</t>
        </is>
      </c>
      <c r="F354" t="n">
        <v>995.77</v>
      </c>
      <c r="G354" s="20" t="n">
        <v>14083</v>
      </c>
      <c r="H354" s="21" t="n">
        <v>223</v>
      </c>
      <c r="I354" s="21" t="n">
        <v>5</v>
      </c>
      <c r="J354" s="21" t="n">
        <v>3232.47</v>
      </c>
    </row>
    <row r="355">
      <c r="A355" s="19" t="n">
        <v>46262</v>
      </c>
      <c r="B355" t="inlineStr">
        <is>
          <t>Meta</t>
        </is>
      </c>
      <c r="C355" t="inlineStr">
        <is>
          <t>STATIC | Bundle offer | v2</t>
        </is>
      </c>
      <c r="D355" t="inlineStr">
        <is>
          <t>Prospecting | Broad | EG</t>
        </is>
      </c>
      <c r="E355" t="inlineStr">
        <is>
          <t>Static-Bundle</t>
        </is>
      </c>
      <c r="F355" t="n">
        <v>653.25</v>
      </c>
      <c r="G355" s="20" t="n">
        <v>9239</v>
      </c>
      <c r="H355" s="21" t="n">
        <v>146</v>
      </c>
      <c r="I355" s="21" t="n">
        <v>2</v>
      </c>
      <c r="J355" s="21" t="n">
        <v>1440.6</v>
      </c>
    </row>
    <row r="356">
      <c r="A356" s="19" t="n">
        <v>46262</v>
      </c>
      <c r="B356" t="inlineStr">
        <is>
          <t>Meta</t>
        </is>
      </c>
      <c r="C356" t="inlineStr">
        <is>
          <t>VID | Founder story | v3</t>
        </is>
      </c>
      <c r="D356" t="inlineStr">
        <is>
          <t>Prospecting | Broad | EG</t>
        </is>
      </c>
      <c r="E356" t="inlineStr">
        <is>
          <t>UGC-Founder</t>
        </is>
      </c>
      <c r="F356" t="n">
        <v>457.81</v>
      </c>
      <c r="G356" s="20" t="n">
        <v>6475</v>
      </c>
      <c r="H356" s="21" t="n">
        <v>103</v>
      </c>
      <c r="I356" s="21" t="n">
        <v>2</v>
      </c>
      <c r="J356" s="21" t="n">
        <v>1313.11</v>
      </c>
    </row>
    <row r="357">
      <c r="A357" s="19" t="n">
        <v>46262</v>
      </c>
      <c r="B357" t="inlineStr">
        <is>
          <t>Meta</t>
        </is>
      </c>
      <c r="C357" t="inlineStr">
        <is>
          <t>VID | Review compilation | v1</t>
        </is>
      </c>
      <c r="D357" t="inlineStr">
        <is>
          <t>Prospecting | Interest | EG</t>
        </is>
      </c>
      <c r="E357" t="inlineStr">
        <is>
          <t>UGC-Reviews</t>
        </is>
      </c>
      <c r="F357" t="n">
        <v>416.72</v>
      </c>
      <c r="G357" s="20" t="n">
        <v>5893</v>
      </c>
      <c r="H357" s="21" t="n">
        <v>93</v>
      </c>
      <c r="I357" s="21" t="n">
        <v>2</v>
      </c>
      <c r="J357" s="21" t="n">
        <v>1493.04</v>
      </c>
    </row>
    <row r="358">
      <c r="A358" s="19" t="n">
        <v>46262</v>
      </c>
      <c r="B358" t="inlineStr">
        <is>
          <t>Meta</t>
        </is>
      </c>
      <c r="C358" t="inlineStr">
        <is>
          <t>STATIC | Bundle offer | v1</t>
        </is>
      </c>
      <c r="D358" t="inlineStr">
        <is>
          <t>Test | Broad | EG</t>
        </is>
      </c>
      <c r="E358" t="inlineStr">
        <is>
          <t>Static-Bundle</t>
        </is>
      </c>
      <c r="F358" t="n">
        <v>347.72</v>
      </c>
      <c r="G358" s="20" t="n">
        <v>4918</v>
      </c>
      <c r="H358" s="21" t="n">
        <v>78</v>
      </c>
      <c r="I358" s="21" t="n">
        <v>1</v>
      </c>
      <c r="J358" s="21" t="n">
        <v>684.0599999999999</v>
      </c>
    </row>
    <row r="359">
      <c r="A359" s="19" t="n">
        <v>46262</v>
      </c>
      <c r="B359" t="inlineStr">
        <is>
          <t>Meta</t>
        </is>
      </c>
      <c r="C359" t="inlineStr">
        <is>
          <t>STATIC | Discount 20% | v1</t>
        </is>
      </c>
      <c r="D359" t="inlineStr">
        <is>
          <t>Retargeting | 7d IC</t>
        </is>
      </c>
      <c r="E359" t="inlineStr">
        <is>
          <t>Static-Discount</t>
        </is>
      </c>
      <c r="F359" t="n">
        <v>239.62</v>
      </c>
      <c r="G359" s="20" t="n">
        <v>3389</v>
      </c>
      <c r="H359" s="21" t="n">
        <v>54</v>
      </c>
      <c r="I359" s="21" t="n">
        <v>2</v>
      </c>
      <c r="J359" s="21" t="n">
        <v>1283.64</v>
      </c>
    </row>
    <row r="360">
      <c r="A360" s="19" t="n">
        <v>46262</v>
      </c>
      <c r="B360" t="inlineStr">
        <is>
          <t>Meta</t>
        </is>
      </c>
      <c r="C360" t="inlineStr">
        <is>
          <t>CAROUSEL | Best sellers</t>
        </is>
      </c>
      <c r="D360" t="inlineStr">
        <is>
          <t>Retargeting | 14d ATC</t>
        </is>
      </c>
      <c r="E360" t="inlineStr">
        <is>
          <t>Carousel-Bestsellers</t>
        </is>
      </c>
      <c r="F360" t="n">
        <v>194.85</v>
      </c>
      <c r="G360" s="20" t="n">
        <v>2756</v>
      </c>
      <c r="H360" s="21" t="n">
        <v>44</v>
      </c>
      <c r="I360" s="21" t="n">
        <v>1</v>
      </c>
      <c r="J360" s="21" t="n">
        <v>646.75</v>
      </c>
    </row>
    <row r="361">
      <c r="A361" s="19" t="n">
        <v>46262</v>
      </c>
      <c r="B361" t="inlineStr">
        <is>
          <t>Meta</t>
        </is>
      </c>
      <c r="C361" t="inlineStr">
        <is>
          <t>VID | Founder story | v1</t>
        </is>
      </c>
      <c r="D361" t="inlineStr">
        <is>
          <t>Prospecting | Broad | EG</t>
        </is>
      </c>
      <c r="E361" t="inlineStr">
        <is>
          <t>UGC-Founder</t>
        </is>
      </c>
      <c r="F361" t="n">
        <v>130.74</v>
      </c>
      <c r="G361" s="20" t="n">
        <v>1849</v>
      </c>
      <c r="H361" s="21" t="n">
        <v>29</v>
      </c>
      <c r="I361" s="21" t="n">
        <v>0</v>
      </c>
      <c r="J361" s="21" t="n">
        <v>0</v>
      </c>
    </row>
    <row r="362">
      <c r="A362" s="19" t="n">
        <v>46263</v>
      </c>
      <c r="B362" t="inlineStr">
        <is>
          <t>Meta</t>
        </is>
      </c>
      <c r="C362" t="inlineStr">
        <is>
          <t>VID | Founder story | v4</t>
        </is>
      </c>
      <c r="D362" t="inlineStr">
        <is>
          <t>Prospecting | Broad | EG</t>
        </is>
      </c>
      <c r="E362" t="inlineStr">
        <is>
          <t>UGC-Founder</t>
        </is>
      </c>
      <c r="F362" t="n">
        <v>1078.28</v>
      </c>
      <c r="G362" s="20" t="n">
        <v>15415</v>
      </c>
      <c r="H362" s="21" t="n">
        <v>275</v>
      </c>
      <c r="I362" s="21" t="n">
        <v>5</v>
      </c>
      <c r="J362" s="21" t="n">
        <v>3322.63</v>
      </c>
    </row>
    <row r="363">
      <c r="A363" s="19" t="n">
        <v>46263</v>
      </c>
      <c r="B363" t="inlineStr">
        <is>
          <t>Meta</t>
        </is>
      </c>
      <c r="C363" t="inlineStr">
        <is>
          <t>STATIC | Bundle offer | v2</t>
        </is>
      </c>
      <c r="D363" t="inlineStr">
        <is>
          <t>Prospecting | Broad | EG</t>
        </is>
      </c>
      <c r="E363" t="inlineStr">
        <is>
          <t>Static-Bundle</t>
        </is>
      </c>
      <c r="F363" t="n">
        <v>777.09</v>
      </c>
      <c r="G363" s="20" t="n">
        <v>11109</v>
      </c>
      <c r="H363" s="21" t="n">
        <v>198</v>
      </c>
      <c r="I363" s="21" t="n">
        <v>3</v>
      </c>
      <c r="J363" s="21" t="n">
        <v>2139.24</v>
      </c>
    </row>
    <row r="364">
      <c r="A364" s="19" t="n">
        <v>46263</v>
      </c>
      <c r="B364" t="inlineStr">
        <is>
          <t>Meta</t>
        </is>
      </c>
      <c r="C364" t="inlineStr">
        <is>
          <t>VID | Founder story | v3</t>
        </is>
      </c>
      <c r="D364" t="inlineStr">
        <is>
          <t>Prospecting | Broad | EG</t>
        </is>
      </c>
      <c r="E364" t="inlineStr">
        <is>
          <t>UGC-Founder</t>
        </is>
      </c>
      <c r="F364" t="n">
        <v>459.17</v>
      </c>
      <c r="G364" s="20" t="n">
        <v>6564</v>
      </c>
      <c r="H364" s="21" t="n">
        <v>117</v>
      </c>
      <c r="I364" s="21" t="n">
        <v>2</v>
      </c>
      <c r="J364" s="21" t="n">
        <v>1573.3</v>
      </c>
    </row>
    <row r="365">
      <c r="A365" s="19" t="n">
        <v>46263</v>
      </c>
      <c r="B365" t="inlineStr">
        <is>
          <t>Meta</t>
        </is>
      </c>
      <c r="C365" t="inlineStr">
        <is>
          <t>VID | Review compilation | v1</t>
        </is>
      </c>
      <c r="D365" t="inlineStr">
        <is>
          <t>Prospecting | Interest | EG</t>
        </is>
      </c>
      <c r="E365" t="inlineStr">
        <is>
          <t>UGC-Reviews</t>
        </is>
      </c>
      <c r="F365" t="n">
        <v>497.25</v>
      </c>
      <c r="G365" s="20" t="n">
        <v>7109</v>
      </c>
      <c r="H365" s="21" t="n">
        <v>127</v>
      </c>
      <c r="I365" s="21" t="n">
        <v>2</v>
      </c>
      <c r="J365" s="21" t="n">
        <v>1569.05</v>
      </c>
    </row>
    <row r="366">
      <c r="A366" s="19" t="n">
        <v>46263</v>
      </c>
      <c r="B366" t="inlineStr">
        <is>
          <t>Meta</t>
        </is>
      </c>
      <c r="C366" t="inlineStr">
        <is>
          <t>STATIC | Bundle offer | v1</t>
        </is>
      </c>
      <c r="D366" t="inlineStr">
        <is>
          <t>Test | Broad | EG</t>
        </is>
      </c>
      <c r="E366" t="inlineStr">
        <is>
          <t>Static-Bundle</t>
        </is>
      </c>
      <c r="F366" t="n">
        <v>312.95</v>
      </c>
      <c r="G366" s="20" t="n">
        <v>4474</v>
      </c>
      <c r="H366" s="21" t="n">
        <v>80</v>
      </c>
      <c r="I366" s="21" t="n">
        <v>1</v>
      </c>
      <c r="J366" s="21" t="n">
        <v>762.54</v>
      </c>
    </row>
    <row r="367">
      <c r="A367" s="19" t="n">
        <v>46263</v>
      </c>
      <c r="B367" t="inlineStr">
        <is>
          <t>Meta</t>
        </is>
      </c>
      <c r="C367" t="inlineStr">
        <is>
          <t>STATIC | Discount 20% | v1</t>
        </is>
      </c>
      <c r="D367" t="inlineStr">
        <is>
          <t>Retargeting | 7d IC</t>
        </is>
      </c>
      <c r="E367" t="inlineStr">
        <is>
          <t>Static-Discount</t>
        </is>
      </c>
      <c r="F367" t="n">
        <v>325.96</v>
      </c>
      <c r="G367" s="20" t="n">
        <v>4660</v>
      </c>
      <c r="H367" s="21" t="n">
        <v>83</v>
      </c>
      <c r="I367" s="21" t="n">
        <v>2</v>
      </c>
      <c r="J367" s="21" t="n">
        <v>1602.25</v>
      </c>
    </row>
    <row r="368">
      <c r="A368" s="19" t="n">
        <v>46263</v>
      </c>
      <c r="B368" t="inlineStr">
        <is>
          <t>Meta</t>
        </is>
      </c>
      <c r="C368" t="inlineStr">
        <is>
          <t>CAROUSEL | Best sellers</t>
        </is>
      </c>
      <c r="D368" t="inlineStr">
        <is>
          <t>Retargeting | 14d ATC</t>
        </is>
      </c>
      <c r="E368" t="inlineStr">
        <is>
          <t>Carousel-Bestsellers</t>
        </is>
      </c>
      <c r="F368" t="n">
        <v>178.3</v>
      </c>
      <c r="G368" s="20" t="n">
        <v>2549</v>
      </c>
      <c r="H368" s="21" t="n">
        <v>45</v>
      </c>
      <c r="I368" s="21" t="n">
        <v>1</v>
      </c>
      <c r="J368" s="21" t="n">
        <v>791.52</v>
      </c>
    </row>
    <row r="369">
      <c r="A369" s="19" t="n">
        <v>46263</v>
      </c>
      <c r="B369" t="inlineStr">
        <is>
          <t>Meta</t>
        </is>
      </c>
      <c r="C369" t="inlineStr">
        <is>
          <t>VID | Founder story | v1</t>
        </is>
      </c>
      <c r="D369" t="inlineStr">
        <is>
          <t>Prospecting | Broad | EG</t>
        </is>
      </c>
      <c r="E369" t="inlineStr">
        <is>
          <t>UGC-Founder</t>
        </is>
      </c>
      <c r="F369" t="n">
        <v>138.32</v>
      </c>
      <c r="G369" s="20" t="n">
        <v>1977</v>
      </c>
      <c r="H369" s="21" t="n">
        <v>35</v>
      </c>
      <c r="I369" s="21" t="n">
        <v>0</v>
      </c>
      <c r="J369" s="21" t="n">
        <v>0</v>
      </c>
    </row>
    <row r="370">
      <c r="A370" s="19" t="n">
        <v>46264</v>
      </c>
      <c r="B370" t="inlineStr">
        <is>
          <t>Meta</t>
        </is>
      </c>
      <c r="C370" t="inlineStr">
        <is>
          <t>VID | Founder story | v4</t>
        </is>
      </c>
      <c r="D370" t="inlineStr">
        <is>
          <t>Prospecting | Broad | EG</t>
        </is>
      </c>
      <c r="E370" t="inlineStr">
        <is>
          <t>UGC-Founder</t>
        </is>
      </c>
      <c r="F370" t="n">
        <v>914.2</v>
      </c>
      <c r="G370" s="20" t="n">
        <v>12786</v>
      </c>
      <c r="H370" s="21" t="n">
        <v>182</v>
      </c>
      <c r="I370" s="21" t="n">
        <v>4</v>
      </c>
      <c r="J370" s="21" t="n">
        <v>2565.18</v>
      </c>
    </row>
    <row r="371">
      <c r="A371" s="19" t="n">
        <v>46264</v>
      </c>
      <c r="B371" t="inlineStr">
        <is>
          <t>Meta</t>
        </is>
      </c>
      <c r="C371" t="inlineStr">
        <is>
          <t>STATIC | Bundle offer | v2</t>
        </is>
      </c>
      <c r="D371" t="inlineStr">
        <is>
          <t>Prospecting | Broad | EG</t>
        </is>
      </c>
      <c r="E371" t="inlineStr">
        <is>
          <t>Static-Bundle</t>
        </is>
      </c>
      <c r="F371" t="n">
        <v>760.95</v>
      </c>
      <c r="G371" s="20" t="n">
        <v>10642</v>
      </c>
      <c r="H371" s="21" t="n">
        <v>152</v>
      </c>
      <c r="I371" s="21" t="n">
        <v>2</v>
      </c>
      <c r="J371" s="21" t="n">
        <v>1236.88</v>
      </c>
    </row>
    <row r="372">
      <c r="A372" s="19" t="n">
        <v>46264</v>
      </c>
      <c r="B372" t="inlineStr">
        <is>
          <t>Meta</t>
        </is>
      </c>
      <c r="C372" t="inlineStr">
        <is>
          <t>VID | Founder story | v3</t>
        </is>
      </c>
      <c r="D372" t="inlineStr">
        <is>
          <t>Prospecting | Broad | EG</t>
        </is>
      </c>
      <c r="E372" t="inlineStr">
        <is>
          <t>UGC-Founder</t>
        </is>
      </c>
      <c r="F372" t="n">
        <v>542.01</v>
      </c>
      <c r="G372" s="20" t="n">
        <v>7580</v>
      </c>
      <c r="H372" s="21" t="n">
        <v>108</v>
      </c>
      <c r="I372" s="21" t="n">
        <v>2</v>
      </c>
      <c r="J372" s="21" t="n">
        <v>1312.95</v>
      </c>
    </row>
    <row r="373">
      <c r="A373" s="19" t="n">
        <v>46264</v>
      </c>
      <c r="B373" t="inlineStr">
        <is>
          <t>Meta</t>
        </is>
      </c>
      <c r="C373" t="inlineStr">
        <is>
          <t>VID | Review compilation | v1</t>
        </is>
      </c>
      <c r="D373" t="inlineStr">
        <is>
          <t>Prospecting | Interest | EG</t>
        </is>
      </c>
      <c r="E373" t="inlineStr">
        <is>
          <t>UGC-Reviews</t>
        </is>
      </c>
      <c r="F373" t="n">
        <v>433.84</v>
      </c>
      <c r="G373" s="20" t="n">
        <v>6067</v>
      </c>
      <c r="H373" s="21" t="n">
        <v>87</v>
      </c>
      <c r="I373" s="21" t="n">
        <v>1</v>
      </c>
      <c r="J373" s="21" t="n">
        <v>666.3200000000001</v>
      </c>
    </row>
    <row r="374">
      <c r="A374" s="19" t="n">
        <v>46264</v>
      </c>
      <c r="B374" t="inlineStr">
        <is>
          <t>Meta</t>
        </is>
      </c>
      <c r="C374" t="inlineStr">
        <is>
          <t>STATIC | Bundle offer | v1</t>
        </is>
      </c>
      <c r="D374" t="inlineStr">
        <is>
          <t>Test | Broad | EG</t>
        </is>
      </c>
      <c r="E374" t="inlineStr">
        <is>
          <t>Static-Bundle</t>
        </is>
      </c>
      <c r="F374" t="n">
        <v>353.08</v>
      </c>
      <c r="G374" s="20" t="n">
        <v>4938</v>
      </c>
      <c r="H374" s="21" t="n">
        <v>70</v>
      </c>
      <c r="I374" s="21" t="n">
        <v>1</v>
      </c>
      <c r="J374" s="21" t="n">
        <v>749.28</v>
      </c>
    </row>
    <row r="375">
      <c r="A375" s="19" t="n">
        <v>46264</v>
      </c>
      <c r="B375" t="inlineStr">
        <is>
          <t>Meta</t>
        </is>
      </c>
      <c r="C375" t="inlineStr">
        <is>
          <t>STATIC | Discount 20% | v1</t>
        </is>
      </c>
      <c r="D375" t="inlineStr">
        <is>
          <t>Retargeting | 7d IC</t>
        </is>
      </c>
      <c r="E375" t="inlineStr">
        <is>
          <t>Static-Discount</t>
        </is>
      </c>
      <c r="F375" t="n">
        <v>270.19</v>
      </c>
      <c r="G375" s="20" t="n">
        <v>3779</v>
      </c>
      <c r="H375" s="21" t="n">
        <v>54</v>
      </c>
      <c r="I375" s="21" t="n">
        <v>2</v>
      </c>
      <c r="J375" s="21" t="n">
        <v>1270.08</v>
      </c>
    </row>
    <row r="376">
      <c r="A376" s="19" t="n">
        <v>46264</v>
      </c>
      <c r="B376" t="inlineStr">
        <is>
          <t>Meta</t>
        </is>
      </c>
      <c r="C376" t="inlineStr">
        <is>
          <t>CAROUSEL | Best sellers</t>
        </is>
      </c>
      <c r="D376" t="inlineStr">
        <is>
          <t>Retargeting | 14d ATC</t>
        </is>
      </c>
      <c r="E376" t="inlineStr">
        <is>
          <t>Carousel-Bestsellers</t>
        </is>
      </c>
      <c r="F376" t="n">
        <v>188.85</v>
      </c>
      <c r="G376" s="20" t="n">
        <v>2641</v>
      </c>
      <c r="H376" s="21" t="n">
        <v>38</v>
      </c>
      <c r="I376" s="21" t="n">
        <v>1</v>
      </c>
      <c r="J376" s="21" t="n">
        <v>750.48</v>
      </c>
    </row>
    <row r="377">
      <c r="A377" s="19" t="n">
        <v>46264</v>
      </c>
      <c r="B377" t="inlineStr">
        <is>
          <t>Meta</t>
        </is>
      </c>
      <c r="C377" t="inlineStr">
        <is>
          <t>VID | Founder story | v1</t>
        </is>
      </c>
      <c r="D377" t="inlineStr">
        <is>
          <t>Prospecting | Broad | EG</t>
        </is>
      </c>
      <c r="E377" t="inlineStr">
        <is>
          <t>UGC-Founder</t>
        </is>
      </c>
      <c r="F377" t="n">
        <v>149.09</v>
      </c>
      <c r="G377" s="20" t="n">
        <v>2085</v>
      </c>
      <c r="H377" s="21" t="n">
        <v>30</v>
      </c>
      <c r="I377" s="21" t="n">
        <v>0</v>
      </c>
      <c r="J377" s="21" t="n">
        <v>0</v>
      </c>
    </row>
    <row r="378">
      <c r="A378" s="19" t="n">
        <v>46265</v>
      </c>
      <c r="B378" t="inlineStr">
        <is>
          <t>Meta</t>
        </is>
      </c>
      <c r="C378" t="inlineStr">
        <is>
          <t>VID | Founder story | v4</t>
        </is>
      </c>
      <c r="D378" t="inlineStr">
        <is>
          <t>Prospecting | Broad | EG</t>
        </is>
      </c>
      <c r="E378" t="inlineStr">
        <is>
          <t>UGC-Founder</t>
        </is>
      </c>
      <c r="F378" t="n">
        <v>791.4</v>
      </c>
      <c r="G378" s="20" t="n">
        <v>10627</v>
      </c>
      <c r="H378" s="21" t="n">
        <v>167</v>
      </c>
      <c r="I378" s="21" t="n">
        <v>4</v>
      </c>
      <c r="J378" s="21" t="n">
        <v>2532.25</v>
      </c>
    </row>
    <row r="379">
      <c r="A379" s="19" t="n">
        <v>46265</v>
      </c>
      <c r="B379" t="inlineStr">
        <is>
          <t>Meta</t>
        </is>
      </c>
      <c r="C379" t="inlineStr">
        <is>
          <t>STATIC | Bundle offer | v2</t>
        </is>
      </c>
      <c r="D379" t="inlineStr">
        <is>
          <t>Prospecting | Broad | EG</t>
        </is>
      </c>
      <c r="E379" t="inlineStr">
        <is>
          <t>Static-Bundle</t>
        </is>
      </c>
      <c r="F379" t="n">
        <v>604.5</v>
      </c>
      <c r="G379" s="20" t="n">
        <v>8117</v>
      </c>
      <c r="H379" s="21" t="n">
        <v>128</v>
      </c>
      <c r="I379" s="21" t="n">
        <v>2</v>
      </c>
      <c r="J379" s="21" t="n">
        <v>1312.32</v>
      </c>
    </row>
    <row r="380">
      <c r="A380" s="19" t="n">
        <v>46265</v>
      </c>
      <c r="B380" t="inlineStr">
        <is>
          <t>Meta</t>
        </is>
      </c>
      <c r="C380" t="inlineStr">
        <is>
          <t>VID | Founder story | v3</t>
        </is>
      </c>
      <c r="D380" t="inlineStr">
        <is>
          <t>Prospecting | Broad | EG</t>
        </is>
      </c>
      <c r="E380" t="inlineStr">
        <is>
          <t>UGC-Founder</t>
        </is>
      </c>
      <c r="F380" t="n">
        <v>453.43</v>
      </c>
      <c r="G380" s="20" t="n">
        <v>6089</v>
      </c>
      <c r="H380" s="21" t="n">
        <v>96</v>
      </c>
      <c r="I380" s="21" t="n">
        <v>2</v>
      </c>
      <c r="J380" s="21" t="n">
        <v>1456.05</v>
      </c>
    </row>
    <row r="381">
      <c r="A381" s="19" t="n">
        <v>46265</v>
      </c>
      <c r="B381" t="inlineStr">
        <is>
          <t>Meta</t>
        </is>
      </c>
      <c r="C381" t="inlineStr">
        <is>
          <t>VID | Review compilation | v1</t>
        </is>
      </c>
      <c r="D381" t="inlineStr">
        <is>
          <t>Prospecting | Interest | EG</t>
        </is>
      </c>
      <c r="E381" t="inlineStr">
        <is>
          <t>UGC-Reviews</t>
        </is>
      </c>
      <c r="F381" t="n">
        <v>405.1</v>
      </c>
      <c r="G381" s="20" t="n">
        <v>5440</v>
      </c>
      <c r="H381" s="21" t="n">
        <v>86</v>
      </c>
      <c r="I381" s="21" t="n">
        <v>1</v>
      </c>
      <c r="J381" s="21" t="n">
        <v>611.11</v>
      </c>
    </row>
    <row r="382">
      <c r="A382" s="19" t="n">
        <v>46265</v>
      </c>
      <c r="B382" t="inlineStr">
        <is>
          <t>Meta</t>
        </is>
      </c>
      <c r="C382" t="inlineStr">
        <is>
          <t>STATIC | Bundle offer | v1</t>
        </is>
      </c>
      <c r="D382" t="inlineStr">
        <is>
          <t>Test | Broad | EG</t>
        </is>
      </c>
      <c r="E382" t="inlineStr">
        <is>
          <t>Static-Bundle</t>
        </is>
      </c>
      <c r="F382" t="n">
        <v>238.38</v>
      </c>
      <c r="G382" s="20" t="n">
        <v>3201</v>
      </c>
      <c r="H382" s="21" t="n">
        <v>50</v>
      </c>
      <c r="I382" s="21" t="n">
        <v>1</v>
      </c>
      <c r="J382" s="21" t="n">
        <v>662.4400000000001</v>
      </c>
    </row>
    <row r="383">
      <c r="A383" s="19" t="n">
        <v>46265</v>
      </c>
      <c r="B383" t="inlineStr">
        <is>
          <t>Meta</t>
        </is>
      </c>
      <c r="C383" t="inlineStr">
        <is>
          <t>STATIC | Discount 20% | v1</t>
        </is>
      </c>
      <c r="D383" t="inlineStr">
        <is>
          <t>Retargeting | 7d IC</t>
        </is>
      </c>
      <c r="E383" t="inlineStr">
        <is>
          <t>Static-Discount</t>
        </is>
      </c>
      <c r="F383" t="n">
        <v>227.88</v>
      </c>
      <c r="G383" s="20" t="n">
        <v>3060</v>
      </c>
      <c r="H383" s="21" t="n">
        <v>48</v>
      </c>
      <c r="I383" s="21" t="n">
        <v>2</v>
      </c>
      <c r="J383" s="21" t="n">
        <v>1433.07</v>
      </c>
    </row>
    <row r="384">
      <c r="A384" s="19" t="n">
        <v>46265</v>
      </c>
      <c r="B384" t="inlineStr">
        <is>
          <t>Meta</t>
        </is>
      </c>
      <c r="C384" t="inlineStr">
        <is>
          <t>CAROUSEL | Best sellers</t>
        </is>
      </c>
      <c r="D384" t="inlineStr">
        <is>
          <t>Retargeting | 14d ATC</t>
        </is>
      </c>
      <c r="E384" t="inlineStr">
        <is>
          <t>Carousel-Bestsellers</t>
        </is>
      </c>
      <c r="F384" t="n">
        <v>154.66</v>
      </c>
      <c r="G384" s="20" t="n">
        <v>2077</v>
      </c>
      <c r="H384" s="21" t="n">
        <v>33</v>
      </c>
      <c r="I384" s="21" t="n">
        <v>1</v>
      </c>
      <c r="J384" s="21" t="n">
        <v>710.4400000000001</v>
      </c>
    </row>
    <row r="385">
      <c r="A385" s="19" t="n">
        <v>46265</v>
      </c>
      <c r="B385" t="inlineStr">
        <is>
          <t>Meta</t>
        </is>
      </c>
      <c r="C385" t="inlineStr">
        <is>
          <t>VID | Founder story | v1</t>
        </is>
      </c>
      <c r="D385" t="inlineStr">
        <is>
          <t>Prospecting | Broad | EG</t>
        </is>
      </c>
      <c r="E385" t="inlineStr">
        <is>
          <t>UGC-Founder</t>
        </is>
      </c>
      <c r="F385" t="n">
        <v>144.83</v>
      </c>
      <c r="G385" s="20" t="n">
        <v>1945</v>
      </c>
      <c r="H385" s="21" t="n">
        <v>31</v>
      </c>
      <c r="I385" s="21" t="n">
        <v>0</v>
      </c>
      <c r="J385" s="21" t="n">
        <v>0</v>
      </c>
    </row>
    <row r="386">
      <c r="A386" s="19" t="n">
        <v>46266</v>
      </c>
      <c r="B386" t="inlineStr">
        <is>
          <t>Meta</t>
        </is>
      </c>
      <c r="C386" t="inlineStr">
        <is>
          <t>VID | Founder story | v4</t>
        </is>
      </c>
      <c r="D386" t="inlineStr">
        <is>
          <t>Prospecting | Broad | EG</t>
        </is>
      </c>
      <c r="E386" t="inlineStr">
        <is>
          <t>UGC-Founder</t>
        </is>
      </c>
      <c r="F386" t="n">
        <v>891.46</v>
      </c>
      <c r="G386" s="20" t="n">
        <v>12470</v>
      </c>
      <c r="H386" s="21" t="n">
        <v>185</v>
      </c>
      <c r="I386" s="21" t="n">
        <v>4</v>
      </c>
      <c r="J386" s="21" t="n">
        <v>2907.21</v>
      </c>
    </row>
    <row r="387">
      <c r="A387" s="19" t="n">
        <v>46266</v>
      </c>
      <c r="B387" t="inlineStr">
        <is>
          <t>Meta</t>
        </is>
      </c>
      <c r="C387" t="inlineStr">
        <is>
          <t>STATIC | Bundle offer | v2</t>
        </is>
      </c>
      <c r="D387" t="inlineStr">
        <is>
          <t>Prospecting | Broad | EG</t>
        </is>
      </c>
      <c r="E387" t="inlineStr">
        <is>
          <t>Static-Bundle</t>
        </is>
      </c>
      <c r="F387" t="n">
        <v>600.05</v>
      </c>
      <c r="G387" s="20" t="n">
        <v>8394</v>
      </c>
      <c r="H387" s="21" t="n">
        <v>125</v>
      </c>
      <c r="I387" s="21" t="n">
        <v>2</v>
      </c>
      <c r="J387" s="21" t="n">
        <v>1362.86</v>
      </c>
    </row>
    <row r="388">
      <c r="A388" s="19" t="n">
        <v>46266</v>
      </c>
      <c r="B388" t="inlineStr">
        <is>
          <t>Meta</t>
        </is>
      </c>
      <c r="C388" t="inlineStr">
        <is>
          <t>VID | Founder story | v3</t>
        </is>
      </c>
      <c r="D388" t="inlineStr">
        <is>
          <t>Prospecting | Broad | EG</t>
        </is>
      </c>
      <c r="E388" t="inlineStr">
        <is>
          <t>UGC-Founder</t>
        </is>
      </c>
      <c r="F388" t="n">
        <v>583.3</v>
      </c>
      <c r="G388" s="20" t="n">
        <v>8160</v>
      </c>
      <c r="H388" s="21" t="n">
        <v>121</v>
      </c>
      <c r="I388" s="21" t="n">
        <v>2</v>
      </c>
      <c r="J388" s="21" t="n">
        <v>1268.36</v>
      </c>
    </row>
    <row r="389">
      <c r="A389" s="19" t="n">
        <v>46266</v>
      </c>
      <c r="B389" t="inlineStr">
        <is>
          <t>Meta</t>
        </is>
      </c>
      <c r="C389" t="inlineStr">
        <is>
          <t>VID | Review compilation | v1</t>
        </is>
      </c>
      <c r="D389" t="inlineStr">
        <is>
          <t>Prospecting | Interest | EG</t>
        </is>
      </c>
      <c r="E389" t="inlineStr">
        <is>
          <t>UGC-Reviews</t>
        </is>
      </c>
      <c r="F389" t="n">
        <v>480.26</v>
      </c>
      <c r="G389" s="20" t="n">
        <v>6718</v>
      </c>
      <c r="H389" s="21" t="n">
        <v>100</v>
      </c>
      <c r="I389" s="21" t="n">
        <v>2</v>
      </c>
      <c r="J389" s="21" t="n">
        <v>1389.4</v>
      </c>
    </row>
    <row r="390">
      <c r="A390" s="19" t="n">
        <v>46266</v>
      </c>
      <c r="B390" t="inlineStr">
        <is>
          <t>Meta</t>
        </is>
      </c>
      <c r="C390" t="inlineStr">
        <is>
          <t>STATIC | Bundle offer | v1</t>
        </is>
      </c>
      <c r="D390" t="inlineStr">
        <is>
          <t>Test | Broad | EG</t>
        </is>
      </c>
      <c r="E390" t="inlineStr">
        <is>
          <t>Static-Bundle</t>
        </is>
      </c>
      <c r="F390" t="n">
        <v>370.96</v>
      </c>
      <c r="G390" s="20" t="n">
        <v>5189</v>
      </c>
      <c r="H390" s="21" t="n">
        <v>77</v>
      </c>
      <c r="I390" s="21" t="n">
        <v>1</v>
      </c>
      <c r="J390" s="21" t="n">
        <v>641.41</v>
      </c>
    </row>
    <row r="391">
      <c r="A391" s="19" t="n">
        <v>46266</v>
      </c>
      <c r="B391" t="inlineStr">
        <is>
          <t>Meta</t>
        </is>
      </c>
      <c r="C391" t="inlineStr">
        <is>
          <t>STATIC | Discount 20% | v1</t>
        </is>
      </c>
      <c r="D391" t="inlineStr">
        <is>
          <t>Retargeting | 7d IC</t>
        </is>
      </c>
      <c r="E391" t="inlineStr">
        <is>
          <t>Static-Discount</t>
        </is>
      </c>
      <c r="F391" t="n">
        <v>322.2</v>
      </c>
      <c r="G391" s="20" t="n">
        <v>4507</v>
      </c>
      <c r="H391" s="21" t="n">
        <v>67</v>
      </c>
      <c r="I391" s="21" t="n">
        <v>3</v>
      </c>
      <c r="J391" s="21" t="n">
        <v>1907.92</v>
      </c>
    </row>
    <row r="392">
      <c r="A392" s="19" t="n">
        <v>46266</v>
      </c>
      <c r="B392" t="inlineStr">
        <is>
          <t>Meta</t>
        </is>
      </c>
      <c r="C392" t="inlineStr">
        <is>
          <t>CAROUSEL | Best sellers</t>
        </is>
      </c>
      <c r="D392" t="inlineStr">
        <is>
          <t>Retargeting | 14d ATC</t>
        </is>
      </c>
      <c r="E392" t="inlineStr">
        <is>
          <t>Carousel-Bestsellers</t>
        </is>
      </c>
      <c r="F392" t="n">
        <v>191.73</v>
      </c>
      <c r="G392" s="20" t="n">
        <v>2682</v>
      </c>
      <c r="H392" s="21" t="n">
        <v>40</v>
      </c>
      <c r="I392" s="21" t="n">
        <v>2</v>
      </c>
      <c r="J392" s="21" t="n">
        <v>1199.54</v>
      </c>
    </row>
    <row r="393">
      <c r="A393" s="19" t="n">
        <v>46266</v>
      </c>
      <c r="B393" t="inlineStr">
        <is>
          <t>Meta</t>
        </is>
      </c>
      <c r="C393" t="inlineStr">
        <is>
          <t>VID | Founder story | v1</t>
        </is>
      </c>
      <c r="D393" t="inlineStr">
        <is>
          <t>Prospecting | Broad | EG</t>
        </is>
      </c>
      <c r="E393" t="inlineStr">
        <is>
          <t>UGC-Founder</t>
        </is>
      </c>
      <c r="F393" t="n">
        <v>150.15</v>
      </c>
      <c r="G393" s="20" t="n">
        <v>2100</v>
      </c>
      <c r="H393" s="21" t="n">
        <v>31</v>
      </c>
      <c r="I393" s="21" t="n">
        <v>0</v>
      </c>
      <c r="J393" s="21" t="n">
        <v>0</v>
      </c>
    </row>
    <row r="394">
      <c r="A394" s="19" t="n">
        <v>46267</v>
      </c>
      <c r="B394" t="inlineStr">
        <is>
          <t>Meta</t>
        </is>
      </c>
      <c r="C394" t="inlineStr">
        <is>
          <t>VID | Founder story | v4</t>
        </is>
      </c>
      <c r="D394" t="inlineStr">
        <is>
          <t>Prospecting | Broad | EG</t>
        </is>
      </c>
      <c r="E394" t="inlineStr">
        <is>
          <t>UGC-Founder</t>
        </is>
      </c>
      <c r="F394" t="n">
        <v>1047.63</v>
      </c>
      <c r="G394" s="20" t="n">
        <v>14904</v>
      </c>
      <c r="H394" s="21" t="n">
        <v>219</v>
      </c>
      <c r="I394" s="21" t="n">
        <v>5</v>
      </c>
      <c r="J394" s="21" t="n">
        <v>3391.45</v>
      </c>
    </row>
    <row r="395">
      <c r="A395" s="19" t="n">
        <v>46267</v>
      </c>
      <c r="B395" t="inlineStr">
        <is>
          <t>Meta</t>
        </is>
      </c>
      <c r="C395" t="inlineStr">
        <is>
          <t>STATIC | Bundle offer | v2</t>
        </is>
      </c>
      <c r="D395" t="inlineStr">
        <is>
          <t>Prospecting | Broad | EG</t>
        </is>
      </c>
      <c r="E395" t="inlineStr">
        <is>
          <t>Static-Bundle</t>
        </is>
      </c>
      <c r="F395" t="n">
        <v>645.8099999999999</v>
      </c>
      <c r="G395" s="20" t="n">
        <v>9188</v>
      </c>
      <c r="H395" s="21" t="n">
        <v>135</v>
      </c>
      <c r="I395" s="21" t="n">
        <v>2</v>
      </c>
      <c r="J395" s="21" t="n">
        <v>1318.97</v>
      </c>
    </row>
    <row r="396">
      <c r="A396" s="19" t="n">
        <v>46267</v>
      </c>
      <c r="B396" t="inlineStr">
        <is>
          <t>Meta</t>
        </is>
      </c>
      <c r="C396" t="inlineStr">
        <is>
          <t>VID | Founder story | v3</t>
        </is>
      </c>
      <c r="D396" t="inlineStr">
        <is>
          <t>Prospecting | Broad | EG</t>
        </is>
      </c>
      <c r="E396" t="inlineStr">
        <is>
          <t>UGC-Founder</t>
        </is>
      </c>
      <c r="F396" t="n">
        <v>527.5599999999999</v>
      </c>
      <c r="G396" s="20" t="n">
        <v>7505</v>
      </c>
      <c r="H396" s="21" t="n">
        <v>110</v>
      </c>
      <c r="I396" s="21" t="n">
        <v>2</v>
      </c>
      <c r="J396" s="21" t="n">
        <v>1368.63</v>
      </c>
    </row>
    <row r="397">
      <c r="A397" s="19" t="n">
        <v>46267</v>
      </c>
      <c r="B397" t="inlineStr">
        <is>
          <t>Meta</t>
        </is>
      </c>
      <c r="C397" t="inlineStr">
        <is>
          <t>VID | Review compilation | v1</t>
        </is>
      </c>
      <c r="D397" t="inlineStr">
        <is>
          <t>Prospecting | Interest | EG</t>
        </is>
      </c>
      <c r="E397" t="inlineStr">
        <is>
          <t>UGC-Reviews</t>
        </is>
      </c>
      <c r="F397" t="n">
        <v>399.18</v>
      </c>
      <c r="G397" s="20" t="n">
        <v>5679</v>
      </c>
      <c r="H397" s="21" t="n">
        <v>84</v>
      </c>
      <c r="I397" s="21" t="n">
        <v>1</v>
      </c>
      <c r="J397" s="21" t="n">
        <v>693.14</v>
      </c>
    </row>
    <row r="398">
      <c r="A398" s="19" t="n">
        <v>46267</v>
      </c>
      <c r="B398" t="inlineStr">
        <is>
          <t>Meta</t>
        </is>
      </c>
      <c r="C398" t="inlineStr">
        <is>
          <t>STATIC | Bundle offer | v1</t>
        </is>
      </c>
      <c r="D398" t="inlineStr">
        <is>
          <t>Test | Broad | EG</t>
        </is>
      </c>
      <c r="E398" t="inlineStr">
        <is>
          <t>Static-Bundle</t>
        </is>
      </c>
      <c r="F398" t="n">
        <v>285.64</v>
      </c>
      <c r="G398" s="20" t="n">
        <v>4064</v>
      </c>
      <c r="H398" s="21" t="n">
        <v>60</v>
      </c>
      <c r="I398" s="21" t="n">
        <v>1</v>
      </c>
      <c r="J398" s="21" t="n">
        <v>753.47</v>
      </c>
    </row>
    <row r="399">
      <c r="A399" s="19" t="n">
        <v>46267</v>
      </c>
      <c r="B399" t="inlineStr">
        <is>
          <t>Meta</t>
        </is>
      </c>
      <c r="C399" t="inlineStr">
        <is>
          <t>STATIC | Discount 20% | v1</t>
        </is>
      </c>
      <c r="D399" t="inlineStr">
        <is>
          <t>Retargeting | 7d IC</t>
        </is>
      </c>
      <c r="E399" t="inlineStr">
        <is>
          <t>Static-Discount</t>
        </is>
      </c>
      <c r="F399" t="n">
        <v>256.76</v>
      </c>
      <c r="G399" s="20" t="n">
        <v>3653</v>
      </c>
      <c r="H399" s="21" t="n">
        <v>54</v>
      </c>
      <c r="I399" s="21" t="n">
        <v>2</v>
      </c>
      <c r="J399" s="21" t="n">
        <v>1300.06</v>
      </c>
    </row>
    <row r="400">
      <c r="A400" s="19" t="n">
        <v>46267</v>
      </c>
      <c r="B400" t="inlineStr">
        <is>
          <t>Meta</t>
        </is>
      </c>
      <c r="C400" t="inlineStr">
        <is>
          <t>CAROUSEL | Best sellers</t>
        </is>
      </c>
      <c r="D400" t="inlineStr">
        <is>
          <t>Retargeting | 14d ATC</t>
        </is>
      </c>
      <c r="E400" t="inlineStr">
        <is>
          <t>Carousel-Bestsellers</t>
        </is>
      </c>
      <c r="F400" t="n">
        <v>205.9</v>
      </c>
      <c r="G400" s="20" t="n">
        <v>2929</v>
      </c>
      <c r="H400" s="21" t="n">
        <v>43</v>
      </c>
      <c r="I400" s="21" t="n">
        <v>2</v>
      </c>
      <c r="J400" s="21" t="n">
        <v>1472.08</v>
      </c>
    </row>
    <row r="401">
      <c r="A401" s="19" t="n">
        <v>46267</v>
      </c>
      <c r="B401" t="inlineStr">
        <is>
          <t>Meta</t>
        </is>
      </c>
      <c r="C401" t="inlineStr">
        <is>
          <t>VID | Founder story | v1</t>
        </is>
      </c>
      <c r="D401" t="inlineStr">
        <is>
          <t>Prospecting | Broad | EG</t>
        </is>
      </c>
      <c r="E401" t="inlineStr">
        <is>
          <t>UGC-Founder</t>
        </is>
      </c>
      <c r="F401" t="n">
        <v>164.59</v>
      </c>
      <c r="G401" s="20" t="n">
        <v>2342</v>
      </c>
      <c r="H401" s="21" t="n">
        <v>34</v>
      </c>
      <c r="I401" s="21" t="n">
        <v>0</v>
      </c>
      <c r="J401" s="21" t="n">
        <v>0</v>
      </c>
    </row>
    <row r="402">
      <c r="A402" s="19" t="n">
        <v>46268</v>
      </c>
      <c r="B402" t="inlineStr">
        <is>
          <t>Meta</t>
        </is>
      </c>
      <c r="C402" t="inlineStr">
        <is>
          <t>VID | Founder story | v4</t>
        </is>
      </c>
      <c r="D402" t="inlineStr">
        <is>
          <t>Prospecting | Broad | EG</t>
        </is>
      </c>
      <c r="E402" t="inlineStr">
        <is>
          <t>UGC-Founder</t>
        </is>
      </c>
      <c r="F402" t="n">
        <v>1028.1</v>
      </c>
      <c r="G402" s="20" t="n">
        <v>13945</v>
      </c>
      <c r="H402" s="21" t="n">
        <v>211</v>
      </c>
      <c r="I402" s="21" t="n">
        <v>4</v>
      </c>
      <c r="J402" s="21" t="n">
        <v>2785.15</v>
      </c>
    </row>
    <row r="403">
      <c r="A403" s="19" t="n">
        <v>46268</v>
      </c>
      <c r="B403" t="inlineStr">
        <is>
          <t>Meta</t>
        </is>
      </c>
      <c r="C403" t="inlineStr">
        <is>
          <t>STATIC | Bundle offer | v2</t>
        </is>
      </c>
      <c r="D403" t="inlineStr">
        <is>
          <t>Prospecting | Broad | EG</t>
        </is>
      </c>
      <c r="E403" t="inlineStr">
        <is>
          <t>Static-Bundle</t>
        </is>
      </c>
      <c r="F403" t="n">
        <v>676.04</v>
      </c>
      <c r="G403" s="20" t="n">
        <v>9170</v>
      </c>
      <c r="H403" s="21" t="n">
        <v>139</v>
      </c>
      <c r="I403" s="21" t="n">
        <v>2</v>
      </c>
      <c r="J403" s="21" t="n">
        <v>1557.28</v>
      </c>
    </row>
    <row r="404">
      <c r="A404" s="19" t="n">
        <v>46268</v>
      </c>
      <c r="B404" t="inlineStr">
        <is>
          <t>Meta</t>
        </is>
      </c>
      <c r="C404" t="inlineStr">
        <is>
          <t>VID | Founder story | v3</t>
        </is>
      </c>
      <c r="D404" t="inlineStr">
        <is>
          <t>Prospecting | Broad | EG</t>
        </is>
      </c>
      <c r="E404" t="inlineStr">
        <is>
          <t>UGC-Founder</t>
        </is>
      </c>
      <c r="F404" t="n">
        <v>483.75</v>
      </c>
      <c r="G404" s="20" t="n">
        <v>6562</v>
      </c>
      <c r="H404" s="21" t="n">
        <v>99</v>
      </c>
      <c r="I404" s="21" t="n">
        <v>2</v>
      </c>
      <c r="J404" s="21" t="n">
        <v>1407.4</v>
      </c>
    </row>
    <row r="405">
      <c r="A405" s="19" t="n">
        <v>46268</v>
      </c>
      <c r="B405" t="inlineStr">
        <is>
          <t>Meta</t>
        </is>
      </c>
      <c r="C405" t="inlineStr">
        <is>
          <t>VID | Review compilation | v1</t>
        </is>
      </c>
      <c r="D405" t="inlineStr">
        <is>
          <t>Prospecting | Interest | EG</t>
        </is>
      </c>
      <c r="E405" t="inlineStr">
        <is>
          <t>UGC-Reviews</t>
        </is>
      </c>
      <c r="F405" t="n">
        <v>444.46</v>
      </c>
      <c r="G405" s="20" t="n">
        <v>6029</v>
      </c>
      <c r="H405" s="21" t="n">
        <v>91</v>
      </c>
      <c r="I405" s="21" t="n">
        <v>2</v>
      </c>
      <c r="J405" s="21" t="n">
        <v>1353.27</v>
      </c>
    </row>
    <row r="406">
      <c r="A406" s="19" t="n">
        <v>46268</v>
      </c>
      <c r="B406" t="inlineStr">
        <is>
          <t>Meta</t>
        </is>
      </c>
      <c r="C406" t="inlineStr">
        <is>
          <t>STATIC | Bundle offer | v1</t>
        </is>
      </c>
      <c r="D406" t="inlineStr">
        <is>
          <t>Test | Broad | EG</t>
        </is>
      </c>
      <c r="E406" t="inlineStr">
        <is>
          <t>Static-Bundle</t>
        </is>
      </c>
      <c r="F406" t="n">
        <v>295.53</v>
      </c>
      <c r="G406" s="20" t="n">
        <v>4009</v>
      </c>
      <c r="H406" s="21" t="n">
        <v>61</v>
      </c>
      <c r="I406" s="21" t="n">
        <v>1</v>
      </c>
      <c r="J406" s="21" t="n">
        <v>672.0599999999999</v>
      </c>
    </row>
    <row r="407">
      <c r="A407" s="19" t="n">
        <v>46268</v>
      </c>
      <c r="B407" t="inlineStr">
        <is>
          <t>Meta</t>
        </is>
      </c>
      <c r="C407" t="inlineStr">
        <is>
          <t>STATIC | Discount 20% | v1</t>
        </is>
      </c>
      <c r="D407" t="inlineStr">
        <is>
          <t>Retargeting | 7d IC</t>
        </is>
      </c>
      <c r="E407" t="inlineStr">
        <is>
          <t>Static-Discount</t>
        </is>
      </c>
      <c r="F407" t="n">
        <v>249.58</v>
      </c>
      <c r="G407" s="20" t="n">
        <v>3385</v>
      </c>
      <c r="H407" s="21" t="n">
        <v>51</v>
      </c>
      <c r="I407" s="21" t="n">
        <v>2</v>
      </c>
      <c r="J407" s="21" t="n">
        <v>1497.9</v>
      </c>
    </row>
    <row r="408">
      <c r="A408" s="19" t="n">
        <v>46268</v>
      </c>
      <c r="B408" t="inlineStr">
        <is>
          <t>Meta</t>
        </is>
      </c>
      <c r="C408" t="inlineStr">
        <is>
          <t>CAROUSEL | Best sellers</t>
        </is>
      </c>
      <c r="D408" t="inlineStr">
        <is>
          <t>Retargeting | 14d ATC</t>
        </is>
      </c>
      <c r="E408" t="inlineStr">
        <is>
          <t>Carousel-Bestsellers</t>
        </is>
      </c>
      <c r="F408" t="n">
        <v>197.69</v>
      </c>
      <c r="G408" s="20" t="n">
        <v>2682</v>
      </c>
      <c r="H408" s="21" t="n">
        <v>41</v>
      </c>
      <c r="I408" s="21" t="n">
        <v>1</v>
      </c>
      <c r="J408" s="21" t="n">
        <v>715.33</v>
      </c>
    </row>
    <row r="409">
      <c r="A409" s="19" t="n">
        <v>46268</v>
      </c>
      <c r="B409" t="inlineStr">
        <is>
          <t>Meta</t>
        </is>
      </c>
      <c r="C409" t="inlineStr">
        <is>
          <t>VID | Founder story | v1</t>
        </is>
      </c>
      <c r="D409" t="inlineStr">
        <is>
          <t>Prospecting | Broad | EG</t>
        </is>
      </c>
      <c r="E409" t="inlineStr">
        <is>
          <t>UGC-Founder</t>
        </is>
      </c>
      <c r="F409" t="n">
        <v>127.39</v>
      </c>
      <c r="G409" s="20" t="n">
        <v>1728</v>
      </c>
      <c r="H409" s="21" t="n">
        <v>26</v>
      </c>
      <c r="I409" s="21" t="n">
        <v>0</v>
      </c>
      <c r="J409" s="21" t="n">
        <v>0</v>
      </c>
    </row>
    <row r="410">
      <c r="A410" s="19" t="n">
        <v>46269</v>
      </c>
      <c r="B410" t="inlineStr">
        <is>
          <t>Meta</t>
        </is>
      </c>
      <c r="C410" t="inlineStr">
        <is>
          <t>VID | Founder story | v4</t>
        </is>
      </c>
      <c r="D410" t="inlineStr">
        <is>
          <t>Prospecting | Broad | EG</t>
        </is>
      </c>
      <c r="E410" t="inlineStr">
        <is>
          <t>UGC-Founder</t>
        </is>
      </c>
      <c r="F410" t="n">
        <v>1063.45</v>
      </c>
      <c r="G410" s="20" t="n">
        <v>15150</v>
      </c>
      <c r="H410" s="21" t="n">
        <v>223</v>
      </c>
      <c r="I410" s="21" t="n">
        <v>4</v>
      </c>
      <c r="J410" s="21" t="n">
        <v>2581.36</v>
      </c>
    </row>
    <row r="411">
      <c r="A411" s="19" t="n">
        <v>46269</v>
      </c>
      <c r="B411" t="inlineStr">
        <is>
          <t>Meta</t>
        </is>
      </c>
      <c r="C411" t="inlineStr">
        <is>
          <t>STATIC | Bundle offer | v2</t>
        </is>
      </c>
      <c r="D411" t="inlineStr">
        <is>
          <t>Prospecting | Broad | EG</t>
        </is>
      </c>
      <c r="E411" t="inlineStr">
        <is>
          <t>Static-Bundle</t>
        </is>
      </c>
      <c r="F411" t="n">
        <v>728.87</v>
      </c>
      <c r="G411" s="20" t="n">
        <v>10384</v>
      </c>
      <c r="H411" s="21" t="n">
        <v>153</v>
      </c>
      <c r="I411" s="21" t="n">
        <v>2</v>
      </c>
      <c r="J411" s="21" t="n">
        <v>1340.47</v>
      </c>
    </row>
    <row r="412">
      <c r="A412" s="19" t="n">
        <v>46269</v>
      </c>
      <c r="B412" t="inlineStr">
        <is>
          <t>Meta</t>
        </is>
      </c>
      <c r="C412" t="inlineStr">
        <is>
          <t>VID | Founder story | v3</t>
        </is>
      </c>
      <c r="D412" t="inlineStr">
        <is>
          <t>Prospecting | Broad | EG</t>
        </is>
      </c>
      <c r="E412" t="inlineStr">
        <is>
          <t>UGC-Founder</t>
        </is>
      </c>
      <c r="F412" t="n">
        <v>443.23</v>
      </c>
      <c r="G412" s="20" t="n">
        <v>6314</v>
      </c>
      <c r="H412" s="21" t="n">
        <v>93</v>
      </c>
      <c r="I412" s="21" t="n">
        <v>1</v>
      </c>
      <c r="J412" s="21" t="n">
        <v>697.97</v>
      </c>
    </row>
    <row r="413">
      <c r="A413" s="19" t="n">
        <v>46269</v>
      </c>
      <c r="B413" t="inlineStr">
        <is>
          <t>Meta</t>
        </is>
      </c>
      <c r="C413" t="inlineStr">
        <is>
          <t>VID | Review compilation | v1</t>
        </is>
      </c>
      <c r="D413" t="inlineStr">
        <is>
          <t>Prospecting | Interest | EG</t>
        </is>
      </c>
      <c r="E413" t="inlineStr">
        <is>
          <t>UGC-Reviews</t>
        </is>
      </c>
      <c r="F413" t="n">
        <v>417.37</v>
      </c>
      <c r="G413" s="20" t="n">
        <v>5946</v>
      </c>
      <c r="H413" s="21" t="n">
        <v>87</v>
      </c>
      <c r="I413" s="21" t="n">
        <v>1</v>
      </c>
      <c r="J413" s="21" t="n">
        <v>705.3099999999999</v>
      </c>
    </row>
    <row r="414">
      <c r="A414" s="19" t="n">
        <v>46269</v>
      </c>
      <c r="B414" t="inlineStr">
        <is>
          <t>Meta</t>
        </is>
      </c>
      <c r="C414" t="inlineStr">
        <is>
          <t>STATIC | Bundle offer | v1</t>
        </is>
      </c>
      <c r="D414" t="inlineStr">
        <is>
          <t>Test | Broad | EG</t>
        </is>
      </c>
      <c r="E414" t="inlineStr">
        <is>
          <t>Static-Bundle</t>
        </is>
      </c>
      <c r="F414" t="n">
        <v>279.42</v>
      </c>
      <c r="G414" s="20" t="n">
        <v>3981</v>
      </c>
      <c r="H414" s="21" t="n">
        <v>58</v>
      </c>
      <c r="I414" s="21" t="n">
        <v>1</v>
      </c>
      <c r="J414" s="21" t="n">
        <v>715.38</v>
      </c>
    </row>
    <row r="415">
      <c r="A415" s="19" t="n">
        <v>46269</v>
      </c>
      <c r="B415" t="inlineStr">
        <is>
          <t>Meta</t>
        </is>
      </c>
      <c r="C415" t="inlineStr">
        <is>
          <t>STATIC | Discount 20% | v1</t>
        </is>
      </c>
      <c r="D415" t="inlineStr">
        <is>
          <t>Retargeting | 7d IC</t>
        </is>
      </c>
      <c r="E415" t="inlineStr">
        <is>
          <t>Static-Discount</t>
        </is>
      </c>
      <c r="F415" t="n">
        <v>264.81</v>
      </c>
      <c r="G415" s="20" t="n">
        <v>3772</v>
      </c>
      <c r="H415" s="21" t="n">
        <v>55</v>
      </c>
      <c r="I415" s="21" t="n">
        <v>1</v>
      </c>
      <c r="J415" s="21" t="n">
        <v>728.87</v>
      </c>
    </row>
    <row r="416">
      <c r="A416" s="19" t="n">
        <v>46269</v>
      </c>
      <c r="B416" t="inlineStr">
        <is>
          <t>Meta</t>
        </is>
      </c>
      <c r="C416" t="inlineStr">
        <is>
          <t>CAROUSEL | Best sellers</t>
        </is>
      </c>
      <c r="D416" t="inlineStr">
        <is>
          <t>Retargeting | 14d ATC</t>
        </is>
      </c>
      <c r="E416" t="inlineStr">
        <is>
          <t>Carousel-Bestsellers</t>
        </is>
      </c>
      <c r="F416" t="n">
        <v>197.12</v>
      </c>
      <c r="G416" s="20" t="n">
        <v>2808</v>
      </c>
      <c r="H416" s="21" t="n">
        <v>41</v>
      </c>
      <c r="I416" s="21" t="n">
        <v>1</v>
      </c>
      <c r="J416" s="21" t="n">
        <v>703.99</v>
      </c>
    </row>
    <row r="417">
      <c r="A417" s="19" t="n">
        <v>46269</v>
      </c>
      <c r="B417" t="inlineStr">
        <is>
          <t>Meta</t>
        </is>
      </c>
      <c r="C417" t="inlineStr">
        <is>
          <t>VID | Founder story | v1</t>
        </is>
      </c>
      <c r="D417" t="inlineStr">
        <is>
          <t>Prospecting | Broad | EG</t>
        </is>
      </c>
      <c r="E417" t="inlineStr">
        <is>
          <t>UGC-Founder</t>
        </is>
      </c>
      <c r="F417" t="n">
        <v>146</v>
      </c>
      <c r="G417" s="20" t="n">
        <v>2080</v>
      </c>
      <c r="H417" s="21" t="n">
        <v>31</v>
      </c>
      <c r="I417" s="21" t="n">
        <v>0</v>
      </c>
      <c r="J417" s="21" t="n">
        <v>0</v>
      </c>
    </row>
    <row r="418">
      <c r="A418" s="19" t="n">
        <v>46270</v>
      </c>
      <c r="B418" t="inlineStr">
        <is>
          <t>Meta</t>
        </is>
      </c>
      <c r="C418" t="inlineStr">
        <is>
          <t>VID | Founder story | v4</t>
        </is>
      </c>
      <c r="D418" t="inlineStr">
        <is>
          <t>Prospecting | Broad | EG</t>
        </is>
      </c>
      <c r="E418" t="inlineStr">
        <is>
          <t>UGC-Founder</t>
        </is>
      </c>
      <c r="F418" t="n">
        <v>1171.05</v>
      </c>
      <c r="G418" s="20" t="n">
        <v>16194</v>
      </c>
      <c r="H418" s="21" t="n">
        <v>250</v>
      </c>
      <c r="I418" s="21" t="n">
        <v>5</v>
      </c>
      <c r="J418" s="21" t="n">
        <v>3311.15</v>
      </c>
    </row>
    <row r="419">
      <c r="A419" s="19" t="n">
        <v>46270</v>
      </c>
      <c r="B419" t="inlineStr">
        <is>
          <t>Meta</t>
        </is>
      </c>
      <c r="C419" t="inlineStr">
        <is>
          <t>STATIC | Bundle offer | v2</t>
        </is>
      </c>
      <c r="D419" t="inlineStr">
        <is>
          <t>Prospecting | Broad | EG</t>
        </is>
      </c>
      <c r="E419" t="inlineStr">
        <is>
          <t>Static-Bundle</t>
        </is>
      </c>
      <c r="F419" t="n">
        <v>664.46</v>
      </c>
      <c r="G419" s="20" t="n">
        <v>9188</v>
      </c>
      <c r="H419" s="21" t="n">
        <v>142</v>
      </c>
      <c r="I419" s="21" t="n">
        <v>2</v>
      </c>
      <c r="J419" s="21" t="n">
        <v>1532.48</v>
      </c>
    </row>
    <row r="420">
      <c r="A420" s="19" t="n">
        <v>46270</v>
      </c>
      <c r="B420" t="inlineStr">
        <is>
          <t>Meta</t>
        </is>
      </c>
      <c r="C420" t="inlineStr">
        <is>
          <t>VID | Founder story | v3</t>
        </is>
      </c>
      <c r="D420" t="inlineStr">
        <is>
          <t>Prospecting | Broad | EG</t>
        </is>
      </c>
      <c r="E420" t="inlineStr">
        <is>
          <t>UGC-Founder</t>
        </is>
      </c>
      <c r="F420" t="n">
        <v>541.86</v>
      </c>
      <c r="G420" s="20" t="n">
        <v>7493</v>
      </c>
      <c r="H420" s="21" t="n">
        <v>116</v>
      </c>
      <c r="I420" s="21" t="n">
        <v>2</v>
      </c>
      <c r="J420" s="21" t="n">
        <v>1445.41</v>
      </c>
    </row>
    <row r="421">
      <c r="A421" s="19" t="n">
        <v>46270</v>
      </c>
      <c r="B421" t="inlineStr">
        <is>
          <t>Meta</t>
        </is>
      </c>
      <c r="C421" t="inlineStr">
        <is>
          <t>VID | Review compilation | v1</t>
        </is>
      </c>
      <c r="D421" t="inlineStr">
        <is>
          <t>Prospecting | Interest | EG</t>
        </is>
      </c>
      <c r="E421" t="inlineStr">
        <is>
          <t>UGC-Reviews</t>
        </is>
      </c>
      <c r="F421" t="n">
        <v>510.96</v>
      </c>
      <c r="G421" s="20" t="n">
        <v>7066</v>
      </c>
      <c r="H421" s="21" t="n">
        <v>109</v>
      </c>
      <c r="I421" s="21" t="n">
        <v>2</v>
      </c>
      <c r="J421" s="21" t="n">
        <v>1373.7</v>
      </c>
    </row>
    <row r="422">
      <c r="A422" s="19" t="n">
        <v>46270</v>
      </c>
      <c r="B422" t="inlineStr">
        <is>
          <t>Meta</t>
        </is>
      </c>
      <c r="C422" t="inlineStr">
        <is>
          <t>STATIC | Bundle offer | v1</t>
        </is>
      </c>
      <c r="D422" t="inlineStr">
        <is>
          <t>Test | Broad | EG</t>
        </is>
      </c>
      <c r="E422" t="inlineStr">
        <is>
          <t>Static-Bundle</t>
        </is>
      </c>
      <c r="F422" t="n">
        <v>379.43</v>
      </c>
      <c r="G422" s="20" t="n">
        <v>5247</v>
      </c>
      <c r="H422" s="21" t="n">
        <v>81</v>
      </c>
      <c r="I422" s="21" t="n">
        <v>1</v>
      </c>
      <c r="J422" s="21" t="n">
        <v>696.78</v>
      </c>
    </row>
    <row r="423">
      <c r="A423" s="19" t="n">
        <v>46270</v>
      </c>
      <c r="B423" t="inlineStr">
        <is>
          <t>Meta</t>
        </is>
      </c>
      <c r="C423" t="inlineStr">
        <is>
          <t>STATIC | Discount 20% | v1</t>
        </is>
      </c>
      <c r="D423" t="inlineStr">
        <is>
          <t>Retargeting | 7d IC</t>
        </is>
      </c>
      <c r="E423" t="inlineStr">
        <is>
          <t>Static-Discount</t>
        </is>
      </c>
      <c r="F423" t="n">
        <v>268.48</v>
      </c>
      <c r="G423" s="20" t="n">
        <v>3713</v>
      </c>
      <c r="H423" s="21" t="n">
        <v>57</v>
      </c>
      <c r="I423" s="21" t="n">
        <v>2</v>
      </c>
      <c r="J423" s="21" t="n">
        <v>1563.3</v>
      </c>
    </row>
    <row r="424">
      <c r="A424" s="19" t="n">
        <v>46270</v>
      </c>
      <c r="B424" t="inlineStr">
        <is>
          <t>Meta</t>
        </is>
      </c>
      <c r="C424" t="inlineStr">
        <is>
          <t>CAROUSEL | Best sellers</t>
        </is>
      </c>
      <c r="D424" t="inlineStr">
        <is>
          <t>Retargeting | 14d ATC</t>
        </is>
      </c>
      <c r="E424" t="inlineStr">
        <is>
          <t>Carousel-Bestsellers</t>
        </is>
      </c>
      <c r="F424" t="n">
        <v>190.93</v>
      </c>
      <c r="G424" s="20" t="n">
        <v>2640</v>
      </c>
      <c r="H424" s="21" t="n">
        <v>41</v>
      </c>
      <c r="I424" s="21" t="n">
        <v>2</v>
      </c>
      <c r="J424" s="21" t="n">
        <v>1425.22</v>
      </c>
    </row>
    <row r="425">
      <c r="A425" s="19" t="n">
        <v>46270</v>
      </c>
      <c r="B425" t="inlineStr">
        <is>
          <t>Meta</t>
        </is>
      </c>
      <c r="C425" t="inlineStr">
        <is>
          <t>VID | Founder story | v1</t>
        </is>
      </c>
      <c r="D425" t="inlineStr">
        <is>
          <t>Prospecting | Broad | EG</t>
        </is>
      </c>
      <c r="E425" t="inlineStr">
        <is>
          <t>UGC-Founder</t>
        </is>
      </c>
      <c r="F425" t="n">
        <v>152.64</v>
      </c>
      <c r="G425" s="20" t="n">
        <v>2111</v>
      </c>
      <c r="H425" s="21" t="n">
        <v>33</v>
      </c>
      <c r="I425" s="21" t="n">
        <v>0</v>
      </c>
      <c r="J425" s="21" t="n">
        <v>0</v>
      </c>
    </row>
    <row r="426">
      <c r="A426" s="19" t="n">
        <v>46271</v>
      </c>
      <c r="B426" t="inlineStr">
        <is>
          <t>Meta</t>
        </is>
      </c>
      <c r="C426" t="inlineStr">
        <is>
          <t>VID | Founder story | v4</t>
        </is>
      </c>
      <c r="D426" t="inlineStr">
        <is>
          <t>Prospecting | Broad | EG</t>
        </is>
      </c>
      <c r="E426" t="inlineStr">
        <is>
          <t>UGC-Founder</t>
        </is>
      </c>
      <c r="F426" t="n">
        <v>941.6900000000001</v>
      </c>
      <c r="G426" s="20" t="n">
        <v>12229</v>
      </c>
      <c r="H426" s="21" t="n">
        <v>187</v>
      </c>
      <c r="I426" s="21" t="n">
        <v>4</v>
      </c>
      <c r="J426" s="21" t="n">
        <v>2626.11</v>
      </c>
    </row>
    <row r="427">
      <c r="A427" s="19" t="n">
        <v>46271</v>
      </c>
      <c r="B427" t="inlineStr">
        <is>
          <t>Meta</t>
        </is>
      </c>
      <c r="C427" t="inlineStr">
        <is>
          <t>STATIC | Bundle offer | v2</t>
        </is>
      </c>
      <c r="D427" t="inlineStr">
        <is>
          <t>Prospecting | Broad | EG</t>
        </is>
      </c>
      <c r="E427" t="inlineStr">
        <is>
          <t>Static-Bundle</t>
        </is>
      </c>
      <c r="F427" t="n">
        <v>601.05</v>
      </c>
      <c r="G427" s="20" t="n">
        <v>7806</v>
      </c>
      <c r="H427" s="21" t="n">
        <v>119</v>
      </c>
      <c r="I427" s="21" t="n">
        <v>2</v>
      </c>
      <c r="J427" s="21" t="n">
        <v>1386.31</v>
      </c>
    </row>
    <row r="428">
      <c r="A428" s="19" t="n">
        <v>46271</v>
      </c>
      <c r="B428" t="inlineStr">
        <is>
          <t>Meta</t>
        </is>
      </c>
      <c r="C428" t="inlineStr">
        <is>
          <t>VID | Founder story | v3</t>
        </is>
      </c>
      <c r="D428" t="inlineStr">
        <is>
          <t>Prospecting | Broad | EG</t>
        </is>
      </c>
      <c r="E428" t="inlineStr">
        <is>
          <t>UGC-Founder</t>
        </is>
      </c>
      <c r="F428" t="n">
        <v>494.44</v>
      </c>
      <c r="G428" s="20" t="n">
        <v>6421</v>
      </c>
      <c r="H428" s="21" t="n">
        <v>98</v>
      </c>
      <c r="I428" s="21" t="n">
        <v>1</v>
      </c>
      <c r="J428" s="21" t="n">
        <v>667.9299999999999</v>
      </c>
    </row>
    <row r="429">
      <c r="A429" s="19" t="n">
        <v>46271</v>
      </c>
      <c r="B429" t="inlineStr">
        <is>
          <t>Meta</t>
        </is>
      </c>
      <c r="C429" t="inlineStr">
        <is>
          <t>VID | Review compilation | v1</t>
        </is>
      </c>
      <c r="D429" t="inlineStr">
        <is>
          <t>Prospecting | Interest | EG</t>
        </is>
      </c>
      <c r="E429" t="inlineStr">
        <is>
          <t>UGC-Reviews</t>
        </is>
      </c>
      <c r="F429" t="n">
        <v>379.55</v>
      </c>
      <c r="G429" s="20" t="n">
        <v>4929</v>
      </c>
      <c r="H429" s="21" t="n">
        <v>75</v>
      </c>
      <c r="I429" s="21" t="n">
        <v>1</v>
      </c>
      <c r="J429" s="21" t="n">
        <v>678.1</v>
      </c>
    </row>
    <row r="430">
      <c r="A430" s="19" t="n">
        <v>46271</v>
      </c>
      <c r="B430" t="inlineStr">
        <is>
          <t>Meta</t>
        </is>
      </c>
      <c r="C430" t="inlineStr">
        <is>
          <t>STATIC | Bundle offer | v1</t>
        </is>
      </c>
      <c r="D430" t="inlineStr">
        <is>
          <t>Test | Broad | EG</t>
        </is>
      </c>
      <c r="E430" t="inlineStr">
        <is>
          <t>Static-Bundle</t>
        </is>
      </c>
      <c r="F430" t="n">
        <v>285.13</v>
      </c>
      <c r="G430" s="20" t="n">
        <v>3703</v>
      </c>
      <c r="H430" s="21" t="n">
        <v>57</v>
      </c>
      <c r="I430" s="21" t="n">
        <v>1</v>
      </c>
      <c r="J430" s="21" t="n">
        <v>791.38</v>
      </c>
    </row>
    <row r="431">
      <c r="A431" s="19" t="n">
        <v>46271</v>
      </c>
      <c r="B431" t="inlineStr">
        <is>
          <t>Meta</t>
        </is>
      </c>
      <c r="C431" t="inlineStr">
        <is>
          <t>STATIC | Discount 20% | v1</t>
        </is>
      </c>
      <c r="D431" t="inlineStr">
        <is>
          <t>Retargeting | 7d IC</t>
        </is>
      </c>
      <c r="E431" t="inlineStr">
        <is>
          <t>Static-Discount</t>
        </is>
      </c>
      <c r="F431" t="n">
        <v>262.34</v>
      </c>
      <c r="G431" s="20" t="n">
        <v>3407</v>
      </c>
      <c r="H431" s="21" t="n">
        <v>52</v>
      </c>
      <c r="I431" s="21" t="n">
        <v>2</v>
      </c>
      <c r="J431" s="21" t="n">
        <v>1470.04</v>
      </c>
    </row>
    <row r="432">
      <c r="A432" s="19" t="n">
        <v>46271</v>
      </c>
      <c r="B432" t="inlineStr">
        <is>
          <t>Meta</t>
        </is>
      </c>
      <c r="C432" t="inlineStr">
        <is>
          <t>CAROUSEL | Best sellers</t>
        </is>
      </c>
      <c r="D432" t="inlineStr">
        <is>
          <t>Retargeting | 14d ATC</t>
        </is>
      </c>
      <c r="E432" t="inlineStr">
        <is>
          <t>Carousel-Bestsellers</t>
        </is>
      </c>
      <c r="F432" t="n">
        <v>184.72</v>
      </c>
      <c r="G432" s="20" t="n">
        <v>2399</v>
      </c>
      <c r="H432" s="21" t="n">
        <v>37</v>
      </c>
      <c r="I432" s="21" t="n">
        <v>1</v>
      </c>
      <c r="J432" s="21" t="n">
        <v>785.1900000000001</v>
      </c>
    </row>
    <row r="433">
      <c r="A433" s="19" t="n">
        <v>46271</v>
      </c>
      <c r="B433" t="inlineStr">
        <is>
          <t>Meta</t>
        </is>
      </c>
      <c r="C433" t="inlineStr">
        <is>
          <t>VID | Founder story | v1</t>
        </is>
      </c>
      <c r="D433" t="inlineStr">
        <is>
          <t>Prospecting | Broad | EG</t>
        </is>
      </c>
      <c r="E433" t="inlineStr">
        <is>
          <t>UGC-Founder</t>
        </is>
      </c>
      <c r="F433" t="n">
        <v>150.75</v>
      </c>
      <c r="G433" s="20" t="n">
        <v>1958</v>
      </c>
      <c r="H433" s="21" t="n">
        <v>30</v>
      </c>
      <c r="I433" s="21" t="n">
        <v>0</v>
      </c>
      <c r="J433" s="21" t="n">
        <v>0</v>
      </c>
    </row>
    <row r="434">
      <c r="A434" s="19" t="n">
        <v>46272</v>
      </c>
      <c r="B434" t="inlineStr">
        <is>
          <t>Meta</t>
        </is>
      </c>
      <c r="C434" t="inlineStr">
        <is>
          <t>VID | Founder story | v4</t>
        </is>
      </c>
      <c r="D434" t="inlineStr">
        <is>
          <t>Prospecting | Broad | EG</t>
        </is>
      </c>
      <c r="E434" t="inlineStr">
        <is>
          <t>UGC-Founder</t>
        </is>
      </c>
      <c r="F434" t="n">
        <v>913.83</v>
      </c>
      <c r="G434" s="20" t="n">
        <v>12696</v>
      </c>
      <c r="H434" s="21" t="n">
        <v>182</v>
      </c>
      <c r="I434" s="21" t="n">
        <v>4</v>
      </c>
      <c r="J434" s="21" t="n">
        <v>2494.62</v>
      </c>
    </row>
    <row r="435">
      <c r="A435" s="19" t="n">
        <v>46272</v>
      </c>
      <c r="B435" t="inlineStr">
        <is>
          <t>Meta</t>
        </is>
      </c>
      <c r="C435" t="inlineStr">
        <is>
          <t>STATIC | Bundle offer | v2</t>
        </is>
      </c>
      <c r="D435" t="inlineStr">
        <is>
          <t>Prospecting | Broad | EG</t>
        </is>
      </c>
      <c r="E435" t="inlineStr">
        <is>
          <t>Static-Bundle</t>
        </is>
      </c>
      <c r="F435" t="n">
        <v>540.54</v>
      </c>
      <c r="G435" s="20" t="n">
        <v>7510</v>
      </c>
      <c r="H435" s="21" t="n">
        <v>107</v>
      </c>
      <c r="I435" s="21" t="n">
        <v>2</v>
      </c>
      <c r="J435" s="21" t="n">
        <v>1287.25</v>
      </c>
    </row>
    <row r="436">
      <c r="A436" s="19" t="n">
        <v>46272</v>
      </c>
      <c r="B436" t="inlineStr">
        <is>
          <t>Meta</t>
        </is>
      </c>
      <c r="C436" t="inlineStr">
        <is>
          <t>VID | Founder story | v3</t>
        </is>
      </c>
      <c r="D436" t="inlineStr">
        <is>
          <t>Prospecting | Broad | EG</t>
        </is>
      </c>
      <c r="E436" t="inlineStr">
        <is>
          <t>UGC-Founder</t>
        </is>
      </c>
      <c r="F436" t="n">
        <v>382.05</v>
      </c>
      <c r="G436" s="20" t="n">
        <v>5308</v>
      </c>
      <c r="H436" s="21" t="n">
        <v>76</v>
      </c>
      <c r="I436" s="21" t="n">
        <v>1</v>
      </c>
      <c r="J436" s="21" t="n">
        <v>613.5700000000001</v>
      </c>
    </row>
    <row r="437">
      <c r="A437" s="19" t="n">
        <v>46272</v>
      </c>
      <c r="B437" t="inlineStr">
        <is>
          <t>Meta</t>
        </is>
      </c>
      <c r="C437" t="inlineStr">
        <is>
          <t>VID | Review compilation | v1</t>
        </is>
      </c>
      <c r="D437" t="inlineStr">
        <is>
          <t>Prospecting | Interest | EG</t>
        </is>
      </c>
      <c r="E437" t="inlineStr">
        <is>
          <t>UGC-Reviews</t>
        </is>
      </c>
      <c r="F437" t="n">
        <v>446</v>
      </c>
      <c r="G437" s="20" t="n">
        <v>6197</v>
      </c>
      <c r="H437" s="21" t="n">
        <v>89</v>
      </c>
      <c r="I437" s="21" t="n">
        <v>1</v>
      </c>
      <c r="J437" s="21" t="n">
        <v>621.85</v>
      </c>
    </row>
    <row r="438">
      <c r="A438" s="19" t="n">
        <v>46272</v>
      </c>
      <c r="B438" t="inlineStr">
        <is>
          <t>Meta</t>
        </is>
      </c>
      <c r="C438" t="inlineStr">
        <is>
          <t>STATIC | Bundle offer | v1</t>
        </is>
      </c>
      <c r="D438" t="inlineStr">
        <is>
          <t>Test | Broad | EG</t>
        </is>
      </c>
      <c r="E438" t="inlineStr">
        <is>
          <t>Static-Bundle</t>
        </is>
      </c>
      <c r="F438" t="n">
        <v>311.16</v>
      </c>
      <c r="G438" s="20" t="n">
        <v>4323</v>
      </c>
      <c r="H438" s="21" t="n">
        <v>62</v>
      </c>
      <c r="I438" s="21" t="n">
        <v>1</v>
      </c>
      <c r="J438" s="21" t="n">
        <v>628.58</v>
      </c>
    </row>
    <row r="439">
      <c r="A439" s="19" t="n">
        <v>46272</v>
      </c>
      <c r="B439" t="inlineStr">
        <is>
          <t>Meta</t>
        </is>
      </c>
      <c r="C439" t="inlineStr">
        <is>
          <t>STATIC | Discount 20% | v1</t>
        </is>
      </c>
      <c r="D439" t="inlineStr">
        <is>
          <t>Retargeting | 7d IC</t>
        </is>
      </c>
      <c r="E439" t="inlineStr">
        <is>
          <t>Static-Discount</t>
        </is>
      </c>
      <c r="F439" t="n">
        <v>201.67</v>
      </c>
      <c r="G439" s="20" t="n">
        <v>2802</v>
      </c>
      <c r="H439" s="21" t="n">
        <v>40</v>
      </c>
      <c r="I439" s="21" t="n">
        <v>1</v>
      </c>
      <c r="J439" s="21" t="n">
        <v>674.12</v>
      </c>
    </row>
    <row r="440">
      <c r="A440" s="19" t="n">
        <v>46272</v>
      </c>
      <c r="B440" t="inlineStr">
        <is>
          <t>Meta</t>
        </is>
      </c>
      <c r="C440" t="inlineStr">
        <is>
          <t>CAROUSEL | Best sellers</t>
        </is>
      </c>
      <c r="D440" t="inlineStr">
        <is>
          <t>Retargeting | 14d ATC</t>
        </is>
      </c>
      <c r="E440" t="inlineStr">
        <is>
          <t>Carousel-Bestsellers</t>
        </is>
      </c>
      <c r="F440" t="n">
        <v>164.72</v>
      </c>
      <c r="G440" s="20" t="n">
        <v>2289</v>
      </c>
      <c r="H440" s="21" t="n">
        <v>33</v>
      </c>
      <c r="I440" s="21" t="n">
        <v>1</v>
      </c>
      <c r="J440" s="21" t="n">
        <v>681.03</v>
      </c>
    </row>
    <row r="441">
      <c r="A441" s="19" t="n">
        <v>46272</v>
      </c>
      <c r="B441" t="inlineStr">
        <is>
          <t>Meta</t>
        </is>
      </c>
      <c r="C441" t="inlineStr">
        <is>
          <t>VID | Founder story | v1</t>
        </is>
      </c>
      <c r="D441" t="inlineStr">
        <is>
          <t>Prospecting | Broad | EG</t>
        </is>
      </c>
      <c r="E441" t="inlineStr">
        <is>
          <t>UGC-Founder</t>
        </is>
      </c>
      <c r="F441" t="n">
        <v>132.69</v>
      </c>
      <c r="G441" s="20" t="n">
        <v>1844</v>
      </c>
      <c r="H441" s="21" t="n">
        <v>26</v>
      </c>
      <c r="I441" s="21" t="n">
        <v>0</v>
      </c>
      <c r="J441" s="21" t="n">
        <v>0</v>
      </c>
    </row>
    <row r="442">
      <c r="A442" s="19" t="n">
        <v>46273</v>
      </c>
      <c r="B442" t="inlineStr">
        <is>
          <t>Meta</t>
        </is>
      </c>
      <c r="C442" t="inlineStr">
        <is>
          <t>VID | Founder story | v4</t>
        </is>
      </c>
      <c r="D442" t="inlineStr">
        <is>
          <t>Prospecting | Broad | EG</t>
        </is>
      </c>
      <c r="E442" t="inlineStr">
        <is>
          <t>UGC-Founder</t>
        </is>
      </c>
      <c r="F442" t="n">
        <v>580.34</v>
      </c>
      <c r="G442" s="20" t="n">
        <v>7756</v>
      </c>
      <c r="H442" s="21" t="n">
        <v>113</v>
      </c>
      <c r="I442" s="21" t="n">
        <v>3</v>
      </c>
      <c r="J442" s="21" t="n">
        <v>2010.19</v>
      </c>
    </row>
    <row r="443">
      <c r="A443" s="19" t="n">
        <v>46273</v>
      </c>
      <c r="B443" t="inlineStr">
        <is>
          <t>Meta</t>
        </is>
      </c>
      <c r="C443" t="inlineStr">
        <is>
          <t>STATIC | Bundle offer | v2</t>
        </is>
      </c>
      <c r="D443" t="inlineStr">
        <is>
          <t>Prospecting | Broad | EG</t>
        </is>
      </c>
      <c r="E443" t="inlineStr">
        <is>
          <t>Static-Bundle</t>
        </is>
      </c>
      <c r="F443" t="n">
        <v>429.85</v>
      </c>
      <c r="G443" s="20" t="n">
        <v>5745</v>
      </c>
      <c r="H443" s="21" t="n">
        <v>84</v>
      </c>
      <c r="I443" s="21" t="n">
        <v>2</v>
      </c>
      <c r="J443" s="21" t="n">
        <v>1351.32</v>
      </c>
    </row>
    <row r="444">
      <c r="A444" s="19" t="n">
        <v>46273</v>
      </c>
      <c r="B444" t="inlineStr">
        <is>
          <t>Meta</t>
        </is>
      </c>
      <c r="C444" t="inlineStr">
        <is>
          <t>VID | Founder story | v3</t>
        </is>
      </c>
      <c r="D444" t="inlineStr">
        <is>
          <t>Prospecting | Broad | EG</t>
        </is>
      </c>
      <c r="E444" t="inlineStr">
        <is>
          <t>UGC-Founder</t>
        </is>
      </c>
      <c r="F444" t="n">
        <v>358.2</v>
      </c>
      <c r="G444" s="20" t="n">
        <v>4787</v>
      </c>
      <c r="H444" s="21" t="n">
        <v>70</v>
      </c>
      <c r="I444" s="21" t="n">
        <v>1</v>
      </c>
      <c r="J444" s="21" t="n">
        <v>718.8200000000001</v>
      </c>
    </row>
    <row r="445">
      <c r="A445" s="19" t="n">
        <v>46273</v>
      </c>
      <c r="B445" t="inlineStr">
        <is>
          <t>Meta</t>
        </is>
      </c>
      <c r="C445" t="inlineStr">
        <is>
          <t>VID | Review compilation | v1</t>
        </is>
      </c>
      <c r="D445" t="inlineStr">
        <is>
          <t>Prospecting | Interest | EG</t>
        </is>
      </c>
      <c r="E445" t="inlineStr">
        <is>
          <t>UGC-Reviews</t>
        </is>
      </c>
      <c r="F445" t="n">
        <v>307.89</v>
      </c>
      <c r="G445" s="20" t="n">
        <v>4115</v>
      </c>
      <c r="H445" s="21" t="n">
        <v>60</v>
      </c>
      <c r="I445" s="21" t="n">
        <v>1</v>
      </c>
      <c r="J445" s="21" t="n">
        <v>741.5599999999999</v>
      </c>
    </row>
    <row r="446">
      <c r="A446" s="19" t="n">
        <v>46273</v>
      </c>
      <c r="B446" t="inlineStr">
        <is>
          <t>Meta</t>
        </is>
      </c>
      <c r="C446" t="inlineStr">
        <is>
          <t>STATIC | Bundle offer | v1</t>
        </is>
      </c>
      <c r="D446" t="inlineStr">
        <is>
          <t>Test | Broad | EG</t>
        </is>
      </c>
      <c r="E446" t="inlineStr">
        <is>
          <t>Static-Bundle</t>
        </is>
      </c>
      <c r="F446" t="n">
        <v>213.9</v>
      </c>
      <c r="G446" s="20" t="n">
        <v>2859</v>
      </c>
      <c r="H446" s="21" t="n">
        <v>42</v>
      </c>
      <c r="I446" s="21" t="n">
        <v>1</v>
      </c>
      <c r="J446" s="21" t="n">
        <v>754.63</v>
      </c>
    </row>
    <row r="447">
      <c r="A447" s="19" t="n">
        <v>46273</v>
      </c>
      <c r="B447" t="inlineStr">
        <is>
          <t>Meta</t>
        </is>
      </c>
      <c r="C447" t="inlineStr">
        <is>
          <t>STATIC | Discount 20% | v1</t>
        </is>
      </c>
      <c r="D447" t="inlineStr">
        <is>
          <t>Retargeting | 7d IC</t>
        </is>
      </c>
      <c r="E447" t="inlineStr">
        <is>
          <t>Static-Discount</t>
        </is>
      </c>
      <c r="F447" t="n">
        <v>172.09</v>
      </c>
      <c r="G447" s="20" t="n">
        <v>2300</v>
      </c>
      <c r="H447" s="21" t="n">
        <v>33</v>
      </c>
      <c r="I447" s="21" t="n">
        <v>1</v>
      </c>
      <c r="J447" s="21" t="n">
        <v>674.16</v>
      </c>
    </row>
    <row r="448">
      <c r="A448" s="19" t="n">
        <v>46273</v>
      </c>
      <c r="B448" t="inlineStr">
        <is>
          <t>Meta</t>
        </is>
      </c>
      <c r="C448" t="inlineStr">
        <is>
          <t>CAROUSEL | Best sellers</t>
        </is>
      </c>
      <c r="D448" t="inlineStr">
        <is>
          <t>Retargeting | 14d ATC</t>
        </is>
      </c>
      <c r="E448" t="inlineStr">
        <is>
          <t>Carousel-Bestsellers</t>
        </is>
      </c>
      <c r="F448" t="n">
        <v>143.94</v>
      </c>
      <c r="G448" s="20" t="n">
        <v>1924</v>
      </c>
      <c r="H448" s="21" t="n">
        <v>28</v>
      </c>
      <c r="I448" s="21" t="n">
        <v>1</v>
      </c>
      <c r="J448" s="21" t="n">
        <v>684.8099999999999</v>
      </c>
    </row>
    <row r="449">
      <c r="A449" s="19" t="n">
        <v>46273</v>
      </c>
      <c r="B449" t="inlineStr">
        <is>
          <t>Meta</t>
        </is>
      </c>
      <c r="C449" t="inlineStr">
        <is>
          <t>VID | Founder story | v1</t>
        </is>
      </c>
      <c r="D449" t="inlineStr">
        <is>
          <t>Prospecting | Broad | EG</t>
        </is>
      </c>
      <c r="E449" t="inlineStr">
        <is>
          <t>UGC-Founder</t>
        </is>
      </c>
      <c r="F449" t="n">
        <v>107.31</v>
      </c>
      <c r="G449" s="20" t="n">
        <v>1434</v>
      </c>
      <c r="H449" s="21" t="n">
        <v>21</v>
      </c>
      <c r="I449" s="21" t="n">
        <v>0</v>
      </c>
      <c r="J449" s="21" t="n">
        <v>0</v>
      </c>
    </row>
    <row r="450">
      <c r="A450" s="19" t="n">
        <v>46274</v>
      </c>
      <c r="B450" t="inlineStr">
        <is>
          <t>Meta</t>
        </is>
      </c>
      <c r="C450" t="inlineStr">
        <is>
          <t>VID | Founder story | v4</t>
        </is>
      </c>
      <c r="D450" t="inlineStr">
        <is>
          <t>Prospecting | Broad | EG</t>
        </is>
      </c>
      <c r="E450" t="inlineStr">
        <is>
          <t>UGC-Founder</t>
        </is>
      </c>
      <c r="F450" t="n">
        <v>609.1900000000001</v>
      </c>
      <c r="G450" s="20" t="n">
        <v>8414</v>
      </c>
      <c r="H450" s="21" t="n">
        <v>153</v>
      </c>
      <c r="I450" s="21" t="n">
        <v>3</v>
      </c>
      <c r="J450" s="21" t="n">
        <v>2120.88</v>
      </c>
    </row>
    <row r="451">
      <c r="A451" s="19" t="n">
        <v>46274</v>
      </c>
      <c r="B451" t="inlineStr">
        <is>
          <t>Meta</t>
        </is>
      </c>
      <c r="C451" t="inlineStr">
        <is>
          <t>STATIC | Bundle offer | v2</t>
        </is>
      </c>
      <c r="D451" t="inlineStr">
        <is>
          <t>Prospecting | Broad | EG</t>
        </is>
      </c>
      <c r="E451" t="inlineStr">
        <is>
          <t>Static-Bundle</t>
        </is>
      </c>
      <c r="F451" t="n">
        <v>390.29</v>
      </c>
      <c r="G451" s="20" t="n">
        <v>5390</v>
      </c>
      <c r="H451" s="21" t="n">
        <v>98</v>
      </c>
      <c r="I451" s="21" t="n">
        <v>2</v>
      </c>
      <c r="J451" s="21" t="n">
        <v>1448.81</v>
      </c>
    </row>
    <row r="452">
      <c r="A452" s="19" t="n">
        <v>46274</v>
      </c>
      <c r="B452" t="inlineStr">
        <is>
          <t>Meta</t>
        </is>
      </c>
      <c r="C452" t="inlineStr">
        <is>
          <t>VID | Founder story | v3</t>
        </is>
      </c>
      <c r="D452" t="inlineStr">
        <is>
          <t>Prospecting | Broad | EG</t>
        </is>
      </c>
      <c r="E452" t="inlineStr">
        <is>
          <t>UGC-Founder</t>
        </is>
      </c>
      <c r="F452" t="n">
        <v>295</v>
      </c>
      <c r="G452" s="20" t="n">
        <v>4074</v>
      </c>
      <c r="H452" s="21" t="n">
        <v>74</v>
      </c>
      <c r="I452" s="21" t="n">
        <v>1</v>
      </c>
      <c r="J452" s="21" t="n">
        <v>641</v>
      </c>
    </row>
    <row r="453">
      <c r="A453" s="19" t="n">
        <v>46274</v>
      </c>
      <c r="B453" t="inlineStr">
        <is>
          <t>Meta</t>
        </is>
      </c>
      <c r="C453" t="inlineStr">
        <is>
          <t>VID | Review compilation | v1</t>
        </is>
      </c>
      <c r="D453" t="inlineStr">
        <is>
          <t>Prospecting | Interest | EG</t>
        </is>
      </c>
      <c r="E453" t="inlineStr">
        <is>
          <t>UGC-Reviews</t>
        </is>
      </c>
      <c r="F453" t="n">
        <v>355.63</v>
      </c>
      <c r="G453" s="20" t="n">
        <v>4912</v>
      </c>
      <c r="H453" s="21" t="n">
        <v>90</v>
      </c>
      <c r="I453" s="21" t="n">
        <v>1</v>
      </c>
      <c r="J453" s="21" t="n">
        <v>619.05</v>
      </c>
    </row>
    <row r="454">
      <c r="A454" s="19" t="n">
        <v>46274</v>
      </c>
      <c r="B454" t="inlineStr">
        <is>
          <t>Meta</t>
        </is>
      </c>
      <c r="C454" t="inlineStr">
        <is>
          <t>STATIC | Bundle offer | v1</t>
        </is>
      </c>
      <c r="D454" t="inlineStr">
        <is>
          <t>Test | Broad | EG</t>
        </is>
      </c>
      <c r="E454" t="inlineStr">
        <is>
          <t>Static-Bundle</t>
        </is>
      </c>
      <c r="F454" t="n">
        <v>196.96</v>
      </c>
      <c r="G454" s="20" t="n">
        <v>2720</v>
      </c>
      <c r="H454" s="21" t="n">
        <v>50</v>
      </c>
      <c r="I454" s="21" t="n">
        <v>1</v>
      </c>
      <c r="J454" s="21" t="n">
        <v>689.01</v>
      </c>
    </row>
    <row r="455">
      <c r="A455" s="19" t="n">
        <v>46274</v>
      </c>
      <c r="B455" t="inlineStr">
        <is>
          <t>Meta</t>
        </is>
      </c>
      <c r="C455" t="inlineStr">
        <is>
          <t>STATIC | Discount 20% | v1</t>
        </is>
      </c>
      <c r="D455" t="inlineStr">
        <is>
          <t>Retargeting | 7d IC</t>
        </is>
      </c>
      <c r="E455" t="inlineStr">
        <is>
          <t>Static-Discount</t>
        </is>
      </c>
      <c r="F455" t="n">
        <v>177.4</v>
      </c>
      <c r="G455" s="20" t="n">
        <v>2450</v>
      </c>
      <c r="H455" s="21" t="n">
        <v>45</v>
      </c>
      <c r="I455" s="21" t="n">
        <v>1</v>
      </c>
      <c r="J455" s="21" t="n">
        <v>619.9</v>
      </c>
    </row>
    <row r="456">
      <c r="A456" s="19" t="n">
        <v>46274</v>
      </c>
      <c r="B456" t="inlineStr">
        <is>
          <t>Meta</t>
        </is>
      </c>
      <c r="C456" t="inlineStr">
        <is>
          <t>CAROUSEL | Best sellers</t>
        </is>
      </c>
      <c r="D456" t="inlineStr">
        <is>
          <t>Retargeting | 14d ATC</t>
        </is>
      </c>
      <c r="E456" t="inlineStr">
        <is>
          <t>Carousel-Bestsellers</t>
        </is>
      </c>
      <c r="F456" t="n">
        <v>116.53</v>
      </c>
      <c r="G456" s="20" t="n">
        <v>1609</v>
      </c>
      <c r="H456" s="21" t="n">
        <v>29</v>
      </c>
      <c r="I456" s="21" t="n">
        <v>1</v>
      </c>
      <c r="J456" s="21" t="n">
        <v>593.84</v>
      </c>
    </row>
    <row r="457">
      <c r="A457" s="19" t="n">
        <v>46274</v>
      </c>
      <c r="B457" t="inlineStr">
        <is>
          <t>Meta</t>
        </is>
      </c>
      <c r="C457" t="inlineStr">
        <is>
          <t>VID | Founder story | v1</t>
        </is>
      </c>
      <c r="D457" t="inlineStr">
        <is>
          <t>Prospecting | Broad | EG</t>
        </is>
      </c>
      <c r="E457" t="inlineStr">
        <is>
          <t>UGC-Founder</t>
        </is>
      </c>
      <c r="F457" t="n">
        <v>94.95999999999999</v>
      </c>
      <c r="G457" s="20" t="n">
        <v>1312</v>
      </c>
      <c r="H457" s="21" t="n">
        <v>24</v>
      </c>
      <c r="I457" s="21" t="n">
        <v>0</v>
      </c>
      <c r="J457" s="21" t="n">
        <v>0</v>
      </c>
    </row>
    <row r="458">
      <c r="A458" s="19" t="n">
        <v>46275</v>
      </c>
      <c r="B458" t="inlineStr">
        <is>
          <t>Meta</t>
        </is>
      </c>
      <c r="C458" t="inlineStr">
        <is>
          <t>VID | Founder story | v4</t>
        </is>
      </c>
      <c r="D458" t="inlineStr">
        <is>
          <t>Prospecting | Broad | EG</t>
        </is>
      </c>
      <c r="E458" t="inlineStr">
        <is>
          <t>UGC-Founder</t>
        </is>
      </c>
      <c r="F458" t="n">
        <v>689.4299999999999</v>
      </c>
      <c r="G458" s="20" t="n">
        <v>8977</v>
      </c>
      <c r="H458" s="21" t="n">
        <v>161</v>
      </c>
      <c r="I458" s="21" t="n">
        <v>4</v>
      </c>
      <c r="J458" s="21" t="n">
        <v>2736.75</v>
      </c>
    </row>
    <row r="459">
      <c r="A459" s="19" t="n">
        <v>46275</v>
      </c>
      <c r="B459" t="inlineStr">
        <is>
          <t>Meta</t>
        </is>
      </c>
      <c r="C459" t="inlineStr">
        <is>
          <t>STATIC | Bundle offer | v2</t>
        </is>
      </c>
      <c r="D459" t="inlineStr">
        <is>
          <t>Prospecting | Broad | EG</t>
        </is>
      </c>
      <c r="E459" t="inlineStr">
        <is>
          <t>Static-Bundle</t>
        </is>
      </c>
      <c r="F459" t="n">
        <v>515.59</v>
      </c>
      <c r="G459" s="20" t="n">
        <v>6713</v>
      </c>
      <c r="H459" s="21" t="n">
        <v>120</v>
      </c>
      <c r="I459" s="21" t="n">
        <v>2</v>
      </c>
      <c r="J459" s="21" t="n">
        <v>1440.01</v>
      </c>
    </row>
    <row r="460">
      <c r="A460" s="19" t="n">
        <v>46275</v>
      </c>
      <c r="B460" t="inlineStr">
        <is>
          <t>Meta</t>
        </is>
      </c>
      <c r="C460" t="inlineStr">
        <is>
          <t>VID | Founder story | v3</t>
        </is>
      </c>
      <c r="D460" t="inlineStr">
        <is>
          <t>Prospecting | Broad | EG</t>
        </is>
      </c>
      <c r="E460" t="inlineStr">
        <is>
          <t>UGC-Founder</t>
        </is>
      </c>
      <c r="F460" t="n">
        <v>342.86</v>
      </c>
      <c r="G460" s="20" t="n">
        <v>4464</v>
      </c>
      <c r="H460" s="21" t="n">
        <v>80</v>
      </c>
      <c r="I460" s="21" t="n">
        <v>1</v>
      </c>
      <c r="J460" s="21" t="n">
        <v>610.77</v>
      </c>
    </row>
    <row r="461">
      <c r="A461" s="19" t="n">
        <v>46275</v>
      </c>
      <c r="B461" t="inlineStr">
        <is>
          <t>Meta</t>
        </is>
      </c>
      <c r="C461" t="inlineStr">
        <is>
          <t>VID | Review compilation | v1</t>
        </is>
      </c>
      <c r="D461" t="inlineStr">
        <is>
          <t>Prospecting | Interest | EG</t>
        </is>
      </c>
      <c r="E461" t="inlineStr">
        <is>
          <t>UGC-Reviews</t>
        </is>
      </c>
      <c r="F461" t="n">
        <v>393.3</v>
      </c>
      <c r="G461" s="20" t="n">
        <v>5121</v>
      </c>
      <c r="H461" s="21" t="n">
        <v>92</v>
      </c>
      <c r="I461" s="21" t="n">
        <v>2</v>
      </c>
      <c r="J461" s="21" t="n">
        <v>1363.46</v>
      </c>
    </row>
    <row r="462">
      <c r="A462" s="19" t="n">
        <v>46275</v>
      </c>
      <c r="B462" t="inlineStr">
        <is>
          <t>Meta</t>
        </is>
      </c>
      <c r="C462" t="inlineStr">
        <is>
          <t>STATIC | Bundle offer | v1</t>
        </is>
      </c>
      <c r="D462" t="inlineStr">
        <is>
          <t>Test | Broad | EG</t>
        </is>
      </c>
      <c r="E462" t="inlineStr">
        <is>
          <t>Static-Bundle</t>
        </is>
      </c>
      <c r="F462" t="n">
        <v>232.43</v>
      </c>
      <c r="G462" s="20" t="n">
        <v>3027</v>
      </c>
      <c r="H462" s="21" t="n">
        <v>54</v>
      </c>
      <c r="I462" s="21" t="n">
        <v>1</v>
      </c>
      <c r="J462" s="21" t="n">
        <v>648.28</v>
      </c>
    </row>
    <row r="463">
      <c r="A463" s="19" t="n">
        <v>46275</v>
      </c>
      <c r="B463" t="inlineStr">
        <is>
          <t>Meta</t>
        </is>
      </c>
      <c r="C463" t="inlineStr">
        <is>
          <t>STATIC | Discount 20% | v1</t>
        </is>
      </c>
      <c r="D463" t="inlineStr">
        <is>
          <t>Retargeting | 7d IC</t>
        </is>
      </c>
      <c r="E463" t="inlineStr">
        <is>
          <t>Static-Discount</t>
        </is>
      </c>
      <c r="F463" t="n">
        <v>176.15</v>
      </c>
      <c r="G463" s="20" t="n">
        <v>2294</v>
      </c>
      <c r="H463" s="21" t="n">
        <v>41</v>
      </c>
      <c r="I463" s="21" t="n">
        <v>2</v>
      </c>
      <c r="J463" s="21" t="n">
        <v>1332.12</v>
      </c>
    </row>
    <row r="464">
      <c r="A464" s="19" t="n">
        <v>46275</v>
      </c>
      <c r="B464" t="inlineStr">
        <is>
          <t>Meta</t>
        </is>
      </c>
      <c r="C464" t="inlineStr">
        <is>
          <t>CAROUSEL | Best sellers</t>
        </is>
      </c>
      <c r="D464" t="inlineStr">
        <is>
          <t>Retargeting | 14d ATC</t>
        </is>
      </c>
      <c r="E464" t="inlineStr">
        <is>
          <t>Carousel-Bestsellers</t>
        </is>
      </c>
      <c r="F464" t="n">
        <v>117.23</v>
      </c>
      <c r="G464" s="20" t="n">
        <v>1526</v>
      </c>
      <c r="H464" s="21" t="n">
        <v>27</v>
      </c>
      <c r="I464" s="21" t="n">
        <v>1</v>
      </c>
      <c r="J464" s="21" t="n">
        <v>618.34</v>
      </c>
    </row>
    <row r="465">
      <c r="A465" s="19" t="n">
        <v>46275</v>
      </c>
      <c r="B465" t="inlineStr">
        <is>
          <t>Meta</t>
        </is>
      </c>
      <c r="C465" t="inlineStr">
        <is>
          <t>VID | Founder story | v1</t>
        </is>
      </c>
      <c r="D465" t="inlineStr">
        <is>
          <t>Prospecting | Broad | EG</t>
        </is>
      </c>
      <c r="E465" t="inlineStr">
        <is>
          <t>UGC-Founder</t>
        </is>
      </c>
      <c r="F465" t="n">
        <v>111.45</v>
      </c>
      <c r="G465" s="20" t="n">
        <v>1451</v>
      </c>
      <c r="H465" s="21" t="n">
        <v>26</v>
      </c>
      <c r="I465" s="21" t="n">
        <v>0</v>
      </c>
      <c r="J465" s="21" t="n">
        <v>0</v>
      </c>
    </row>
    <row r="466">
      <c r="A466" s="19" t="n">
        <v>46276</v>
      </c>
      <c r="B466" t="inlineStr">
        <is>
          <t>Meta</t>
        </is>
      </c>
      <c r="C466" t="inlineStr">
        <is>
          <t>VID | Founder story | v4</t>
        </is>
      </c>
      <c r="D466" t="inlineStr">
        <is>
          <t>Prospecting | Broad | EG</t>
        </is>
      </c>
      <c r="E466" t="inlineStr">
        <is>
          <t>UGC-Founder</t>
        </is>
      </c>
      <c r="F466" t="n">
        <v>679.71</v>
      </c>
      <c r="G466" s="20" t="n">
        <v>9334</v>
      </c>
      <c r="H466" s="21" t="n">
        <v>159</v>
      </c>
      <c r="I466" s="21" t="n">
        <v>4</v>
      </c>
      <c r="J466" s="21" t="n">
        <v>3036.32</v>
      </c>
    </row>
    <row r="467">
      <c r="A467" s="19" t="n">
        <v>46276</v>
      </c>
      <c r="B467" t="inlineStr">
        <is>
          <t>Meta</t>
        </is>
      </c>
      <c r="C467" t="inlineStr">
        <is>
          <t>STATIC | Bundle offer | v2</t>
        </is>
      </c>
      <c r="D467" t="inlineStr">
        <is>
          <t>Prospecting | Broad | EG</t>
        </is>
      </c>
      <c r="E467" t="inlineStr">
        <is>
          <t>Static-Bundle</t>
        </is>
      </c>
      <c r="F467" t="n">
        <v>507.76</v>
      </c>
      <c r="G467" s="20" t="n">
        <v>6973</v>
      </c>
      <c r="H467" s="21" t="n">
        <v>119</v>
      </c>
      <c r="I467" s="21" t="n">
        <v>2</v>
      </c>
      <c r="J467" s="21" t="n">
        <v>1527.22</v>
      </c>
    </row>
    <row r="468">
      <c r="A468" s="19" t="n">
        <v>46276</v>
      </c>
      <c r="B468" t="inlineStr">
        <is>
          <t>Meta</t>
        </is>
      </c>
      <c r="C468" t="inlineStr">
        <is>
          <t>VID | Founder story | v3</t>
        </is>
      </c>
      <c r="D468" t="inlineStr">
        <is>
          <t>Prospecting | Broad | EG</t>
        </is>
      </c>
      <c r="E468" t="inlineStr">
        <is>
          <t>UGC-Founder</t>
        </is>
      </c>
      <c r="F468" t="n">
        <v>298.07</v>
      </c>
      <c r="G468" s="20" t="n">
        <v>4093</v>
      </c>
      <c r="H468" s="21" t="n">
        <v>70</v>
      </c>
      <c r="I468" s="21" t="n">
        <v>1</v>
      </c>
      <c r="J468" s="21" t="n">
        <v>694.88</v>
      </c>
    </row>
    <row r="469">
      <c r="A469" s="19" t="n">
        <v>46276</v>
      </c>
      <c r="B469" t="inlineStr">
        <is>
          <t>Meta</t>
        </is>
      </c>
      <c r="C469" t="inlineStr">
        <is>
          <t>VID | Review compilation | v1</t>
        </is>
      </c>
      <c r="D469" t="inlineStr">
        <is>
          <t>Prospecting | Interest | EG</t>
        </is>
      </c>
      <c r="E469" t="inlineStr">
        <is>
          <t>UGC-Reviews</t>
        </is>
      </c>
      <c r="F469" t="n">
        <v>336.75</v>
      </c>
      <c r="G469" s="20" t="n">
        <v>4624</v>
      </c>
      <c r="H469" s="21" t="n">
        <v>79</v>
      </c>
      <c r="I469" s="21" t="n">
        <v>1</v>
      </c>
      <c r="J469" s="21" t="n">
        <v>635</v>
      </c>
    </row>
    <row r="470">
      <c r="A470" s="19" t="n">
        <v>46276</v>
      </c>
      <c r="B470" t="inlineStr">
        <is>
          <t>Meta</t>
        </is>
      </c>
      <c r="C470" t="inlineStr">
        <is>
          <t>STATIC | Bundle offer | v1</t>
        </is>
      </c>
      <c r="D470" t="inlineStr">
        <is>
          <t>Test | Broad | EG</t>
        </is>
      </c>
      <c r="E470" t="inlineStr">
        <is>
          <t>Static-Bundle</t>
        </is>
      </c>
      <c r="F470" t="n">
        <v>245.73</v>
      </c>
      <c r="G470" s="20" t="n">
        <v>3374</v>
      </c>
      <c r="H470" s="21" t="n">
        <v>58</v>
      </c>
      <c r="I470" s="21" t="n">
        <v>1</v>
      </c>
      <c r="J470" s="21" t="n">
        <v>756.72</v>
      </c>
    </row>
    <row r="471">
      <c r="A471" s="19" t="n">
        <v>46276</v>
      </c>
      <c r="B471" t="inlineStr">
        <is>
          <t>Meta</t>
        </is>
      </c>
      <c r="C471" t="inlineStr">
        <is>
          <t>STATIC | Discount 20% | v1</t>
        </is>
      </c>
      <c r="D471" t="inlineStr">
        <is>
          <t>Retargeting | 7d IC</t>
        </is>
      </c>
      <c r="E471" t="inlineStr">
        <is>
          <t>Static-Discount</t>
        </is>
      </c>
      <c r="F471" t="n">
        <v>213.89</v>
      </c>
      <c r="G471" s="20" t="n">
        <v>2937</v>
      </c>
      <c r="H471" s="21" t="n">
        <v>50</v>
      </c>
      <c r="I471" s="21" t="n">
        <v>2</v>
      </c>
      <c r="J471" s="21" t="n">
        <v>1363.31</v>
      </c>
    </row>
    <row r="472">
      <c r="A472" s="19" t="n">
        <v>46276</v>
      </c>
      <c r="B472" t="inlineStr">
        <is>
          <t>Meta</t>
        </is>
      </c>
      <c r="C472" t="inlineStr">
        <is>
          <t>CAROUSEL | Best sellers</t>
        </is>
      </c>
      <c r="D472" t="inlineStr">
        <is>
          <t>Retargeting | 14d ATC</t>
        </is>
      </c>
      <c r="E472" t="inlineStr">
        <is>
          <t>Carousel-Bestsellers</t>
        </is>
      </c>
      <c r="F472" t="n">
        <v>119.41</v>
      </c>
      <c r="G472" s="20" t="n">
        <v>1640</v>
      </c>
      <c r="H472" s="21" t="n">
        <v>28</v>
      </c>
      <c r="I472" s="21" t="n">
        <v>1</v>
      </c>
      <c r="J472" s="21" t="n">
        <v>753.66</v>
      </c>
    </row>
    <row r="473">
      <c r="A473" s="19" t="n">
        <v>46276</v>
      </c>
      <c r="B473" t="inlineStr">
        <is>
          <t>Meta</t>
        </is>
      </c>
      <c r="C473" t="inlineStr">
        <is>
          <t>VID | Founder story | v1</t>
        </is>
      </c>
      <c r="D473" t="inlineStr">
        <is>
          <t>Prospecting | Broad | EG</t>
        </is>
      </c>
      <c r="E473" t="inlineStr">
        <is>
          <t>UGC-Founder</t>
        </is>
      </c>
      <c r="F473" t="n">
        <v>93.3</v>
      </c>
      <c r="G473" s="20" t="n">
        <v>1281</v>
      </c>
      <c r="H473" s="21" t="n">
        <v>22</v>
      </c>
      <c r="I473" s="21" t="n">
        <v>0</v>
      </c>
      <c r="J473" s="21" t="n">
        <v>0</v>
      </c>
    </row>
    <row r="474">
      <c r="A474" s="19" t="n">
        <v>46277</v>
      </c>
      <c r="B474" t="inlineStr">
        <is>
          <t>Meta</t>
        </is>
      </c>
      <c r="C474" t="inlineStr">
        <is>
          <t>VID | Founder story | v4</t>
        </is>
      </c>
      <c r="D474" t="inlineStr">
        <is>
          <t>Prospecting | Broad | EG</t>
        </is>
      </c>
      <c r="E474" t="inlineStr">
        <is>
          <t>UGC-Founder</t>
        </is>
      </c>
      <c r="F474" t="n">
        <v>767.39</v>
      </c>
      <c r="G474" s="20" t="n">
        <v>10585</v>
      </c>
      <c r="H474" s="21" t="n">
        <v>150</v>
      </c>
      <c r="I474" s="21" t="n">
        <v>3</v>
      </c>
      <c r="J474" s="21" t="n">
        <v>1899.28</v>
      </c>
    </row>
    <row r="475">
      <c r="A475" s="19" t="n">
        <v>46277</v>
      </c>
      <c r="B475" t="inlineStr">
        <is>
          <t>Meta</t>
        </is>
      </c>
      <c r="C475" t="inlineStr">
        <is>
          <t>STATIC | Bundle offer | v2</t>
        </is>
      </c>
      <c r="D475" t="inlineStr">
        <is>
          <t>Prospecting | Broad | EG</t>
        </is>
      </c>
      <c r="E475" t="inlineStr">
        <is>
          <t>Static-Bundle</t>
        </is>
      </c>
      <c r="F475" t="n">
        <v>418.69</v>
      </c>
      <c r="G475" s="20" t="n">
        <v>5775</v>
      </c>
      <c r="H475" s="21" t="n">
        <v>82</v>
      </c>
      <c r="I475" s="21" t="n">
        <v>2</v>
      </c>
      <c r="J475" s="21" t="n">
        <v>1314.92</v>
      </c>
    </row>
    <row r="476">
      <c r="A476" s="19" t="n">
        <v>46277</v>
      </c>
      <c r="B476" t="inlineStr">
        <is>
          <t>Meta</t>
        </is>
      </c>
      <c r="C476" t="inlineStr">
        <is>
          <t>VID | Founder story | v3</t>
        </is>
      </c>
      <c r="D476" t="inlineStr">
        <is>
          <t>Prospecting | Broad | EG</t>
        </is>
      </c>
      <c r="E476" t="inlineStr">
        <is>
          <t>UGC-Founder</t>
        </is>
      </c>
      <c r="F476" t="n">
        <v>379.63</v>
      </c>
      <c r="G476" s="20" t="n">
        <v>5236</v>
      </c>
      <c r="H476" s="21" t="n">
        <v>74</v>
      </c>
      <c r="I476" s="21" t="n">
        <v>1</v>
      </c>
      <c r="J476" s="21" t="n">
        <v>673.3200000000001</v>
      </c>
    </row>
    <row r="477">
      <c r="A477" s="19" t="n">
        <v>46277</v>
      </c>
      <c r="B477" t="inlineStr">
        <is>
          <t>Meta</t>
        </is>
      </c>
      <c r="C477" t="inlineStr">
        <is>
          <t>VID | Review compilation | v1</t>
        </is>
      </c>
      <c r="D477" t="inlineStr">
        <is>
          <t>Prospecting | Interest | EG</t>
        </is>
      </c>
      <c r="E477" t="inlineStr">
        <is>
          <t>UGC-Reviews</t>
        </is>
      </c>
      <c r="F477" t="n">
        <v>320.5</v>
      </c>
      <c r="G477" s="20" t="n">
        <v>4421</v>
      </c>
      <c r="H477" s="21" t="n">
        <v>63</v>
      </c>
      <c r="I477" s="21" t="n">
        <v>1</v>
      </c>
      <c r="J477" s="21" t="n">
        <v>655.29</v>
      </c>
    </row>
    <row r="478">
      <c r="A478" s="19" t="n">
        <v>46277</v>
      </c>
      <c r="B478" t="inlineStr">
        <is>
          <t>Meta</t>
        </is>
      </c>
      <c r="C478" t="inlineStr">
        <is>
          <t>STATIC | Bundle offer | v1</t>
        </is>
      </c>
      <c r="D478" t="inlineStr">
        <is>
          <t>Test | Broad | EG</t>
        </is>
      </c>
      <c r="E478" t="inlineStr">
        <is>
          <t>Static-Bundle</t>
        </is>
      </c>
      <c r="F478" t="n">
        <v>226.42</v>
      </c>
      <c r="G478" s="20" t="n">
        <v>3123</v>
      </c>
      <c r="H478" s="21" t="n">
        <v>44</v>
      </c>
      <c r="I478" s="21" t="n">
        <v>1</v>
      </c>
      <c r="J478" s="21" t="n">
        <v>620.34</v>
      </c>
    </row>
    <row r="479">
      <c r="A479" s="19" t="n">
        <v>46277</v>
      </c>
      <c r="B479" t="inlineStr">
        <is>
          <t>Meta</t>
        </is>
      </c>
      <c r="C479" t="inlineStr">
        <is>
          <t>STATIC | Discount 20% | v1</t>
        </is>
      </c>
      <c r="D479" t="inlineStr">
        <is>
          <t>Retargeting | 7d IC</t>
        </is>
      </c>
      <c r="E479" t="inlineStr">
        <is>
          <t>Static-Discount</t>
        </is>
      </c>
      <c r="F479" t="n">
        <v>214.43</v>
      </c>
      <c r="G479" s="20" t="n">
        <v>2958</v>
      </c>
      <c r="H479" s="21" t="n">
        <v>42</v>
      </c>
      <c r="I479" s="21" t="n">
        <v>1</v>
      </c>
      <c r="J479" s="21" t="n">
        <v>636.97</v>
      </c>
    </row>
    <row r="480">
      <c r="A480" s="19" t="n">
        <v>46277</v>
      </c>
      <c r="B480" t="inlineStr">
        <is>
          <t>Meta</t>
        </is>
      </c>
      <c r="C480" t="inlineStr">
        <is>
          <t>CAROUSEL | Best sellers</t>
        </is>
      </c>
      <c r="D480" t="inlineStr">
        <is>
          <t>Retargeting | 14d ATC</t>
        </is>
      </c>
      <c r="E480" t="inlineStr">
        <is>
          <t>Carousel-Bestsellers</t>
        </is>
      </c>
      <c r="F480" t="n">
        <v>149.4</v>
      </c>
      <c r="G480" s="20" t="n">
        <v>2061</v>
      </c>
      <c r="H480" s="21" t="n">
        <v>29</v>
      </c>
      <c r="I480" s="21" t="n">
        <v>1</v>
      </c>
      <c r="J480" s="21" t="n">
        <v>701.09</v>
      </c>
    </row>
    <row r="481">
      <c r="A481" s="19" t="n">
        <v>46277</v>
      </c>
      <c r="B481" t="inlineStr">
        <is>
          <t>Meta</t>
        </is>
      </c>
      <c r="C481" t="inlineStr">
        <is>
          <t>VID | Founder story | v1</t>
        </is>
      </c>
      <c r="D481" t="inlineStr">
        <is>
          <t>Prospecting | Broad | EG</t>
        </is>
      </c>
      <c r="E481" t="inlineStr">
        <is>
          <t>UGC-Founder</t>
        </is>
      </c>
      <c r="F481" t="n">
        <v>98.43000000000001</v>
      </c>
      <c r="G481" s="20" t="n">
        <v>1358</v>
      </c>
      <c r="H481" s="21" t="n">
        <v>19</v>
      </c>
      <c r="I481" s="21" t="n">
        <v>0</v>
      </c>
      <c r="J481" s="21" t="n">
        <v>0</v>
      </c>
    </row>
    <row r="482">
      <c r="A482" s="19" t="n">
        <v>46278</v>
      </c>
      <c r="B482" t="inlineStr">
        <is>
          <t>Meta</t>
        </is>
      </c>
      <c r="C482" t="inlineStr">
        <is>
          <t>VID | Founder story | v4</t>
        </is>
      </c>
      <c r="D482" t="inlineStr">
        <is>
          <t>Prospecting | Broad | EG</t>
        </is>
      </c>
      <c r="E482" t="inlineStr">
        <is>
          <t>UGC-Founder</t>
        </is>
      </c>
      <c r="F482" t="n">
        <v>634.04</v>
      </c>
      <c r="G482" s="20" t="n">
        <v>8126</v>
      </c>
      <c r="H482" s="21" t="n">
        <v>117</v>
      </c>
      <c r="I482" s="21" t="n">
        <v>3</v>
      </c>
      <c r="J482" s="21" t="n">
        <v>1946.62</v>
      </c>
    </row>
    <row r="483">
      <c r="A483" s="19" t="n">
        <v>46278</v>
      </c>
      <c r="B483" t="inlineStr">
        <is>
          <t>Meta</t>
        </is>
      </c>
      <c r="C483" t="inlineStr">
        <is>
          <t>STATIC | Bundle offer | v2</t>
        </is>
      </c>
      <c r="D483" t="inlineStr">
        <is>
          <t>Prospecting | Broad | EG</t>
        </is>
      </c>
      <c r="E483" t="inlineStr">
        <is>
          <t>Static-Bundle</t>
        </is>
      </c>
      <c r="F483" t="n">
        <v>499.34</v>
      </c>
      <c r="G483" s="20" t="n">
        <v>6399</v>
      </c>
      <c r="H483" s="21" t="n">
        <v>92</v>
      </c>
      <c r="I483" s="21" t="n">
        <v>2</v>
      </c>
      <c r="J483" s="21" t="n">
        <v>1216.54</v>
      </c>
    </row>
    <row r="484">
      <c r="A484" s="19" t="n">
        <v>46278</v>
      </c>
      <c r="B484" t="inlineStr">
        <is>
          <t>Meta</t>
        </is>
      </c>
      <c r="C484" t="inlineStr">
        <is>
          <t>VID | Founder story | v3</t>
        </is>
      </c>
      <c r="D484" t="inlineStr">
        <is>
          <t>Prospecting | Broad | EG</t>
        </is>
      </c>
      <c r="E484" t="inlineStr">
        <is>
          <t>UGC-Founder</t>
        </is>
      </c>
      <c r="F484" t="n">
        <v>396.03</v>
      </c>
      <c r="G484" s="20" t="n">
        <v>5075</v>
      </c>
      <c r="H484" s="21" t="n">
        <v>73</v>
      </c>
      <c r="I484" s="21" t="n">
        <v>1</v>
      </c>
      <c r="J484" s="21" t="n">
        <v>622.6799999999999</v>
      </c>
    </row>
    <row r="485">
      <c r="A485" s="19" t="n">
        <v>46278</v>
      </c>
      <c r="B485" t="inlineStr">
        <is>
          <t>Meta</t>
        </is>
      </c>
      <c r="C485" t="inlineStr">
        <is>
          <t>VID | Review compilation | v1</t>
        </is>
      </c>
      <c r="D485" t="inlineStr">
        <is>
          <t>Prospecting | Interest | EG</t>
        </is>
      </c>
      <c r="E485" t="inlineStr">
        <is>
          <t>UGC-Reviews</t>
        </is>
      </c>
      <c r="F485" t="n">
        <v>316.69</v>
      </c>
      <c r="G485" s="20" t="n">
        <v>4059</v>
      </c>
      <c r="H485" s="21" t="n">
        <v>58</v>
      </c>
      <c r="I485" s="21" t="n">
        <v>1</v>
      </c>
      <c r="J485" s="21" t="n">
        <v>643.25</v>
      </c>
    </row>
    <row r="486">
      <c r="A486" s="19" t="n">
        <v>46278</v>
      </c>
      <c r="B486" t="inlineStr">
        <is>
          <t>Meta</t>
        </is>
      </c>
      <c r="C486" t="inlineStr">
        <is>
          <t>STATIC | Bundle offer | v1</t>
        </is>
      </c>
      <c r="D486" t="inlineStr">
        <is>
          <t>Test | Broad | EG</t>
        </is>
      </c>
      <c r="E486" t="inlineStr">
        <is>
          <t>Static-Bundle</t>
        </is>
      </c>
      <c r="F486" t="n">
        <v>269.96</v>
      </c>
      <c r="G486" s="20" t="n">
        <v>3460</v>
      </c>
      <c r="H486" s="21" t="n">
        <v>50</v>
      </c>
      <c r="I486" s="21" t="n">
        <v>1</v>
      </c>
      <c r="J486" s="21" t="n">
        <v>623.4</v>
      </c>
    </row>
    <row r="487">
      <c r="A487" s="19" t="n">
        <v>46278</v>
      </c>
      <c r="B487" t="inlineStr">
        <is>
          <t>Meta</t>
        </is>
      </c>
      <c r="C487" t="inlineStr">
        <is>
          <t>STATIC | Discount 20% | v1</t>
        </is>
      </c>
      <c r="D487" t="inlineStr">
        <is>
          <t>Retargeting | 7d IC</t>
        </is>
      </c>
      <c r="E487" t="inlineStr">
        <is>
          <t>Static-Discount</t>
        </is>
      </c>
      <c r="F487" t="n">
        <v>180.82</v>
      </c>
      <c r="G487" s="20" t="n">
        <v>2317</v>
      </c>
      <c r="H487" s="21" t="n">
        <v>33</v>
      </c>
      <c r="I487" s="21" t="n">
        <v>1</v>
      </c>
      <c r="J487" s="21" t="n">
        <v>652.9</v>
      </c>
    </row>
    <row r="488">
      <c r="A488" s="19" t="n">
        <v>46278</v>
      </c>
      <c r="B488" t="inlineStr">
        <is>
          <t>Meta</t>
        </is>
      </c>
      <c r="C488" t="inlineStr">
        <is>
          <t>CAROUSEL | Best sellers</t>
        </is>
      </c>
      <c r="D488" t="inlineStr">
        <is>
          <t>Retargeting | 14d ATC</t>
        </is>
      </c>
      <c r="E488" t="inlineStr">
        <is>
          <t>Carousel-Bestsellers</t>
        </is>
      </c>
      <c r="F488" t="n">
        <v>147.24</v>
      </c>
      <c r="G488" s="20" t="n">
        <v>1887</v>
      </c>
      <c r="H488" s="21" t="n">
        <v>27</v>
      </c>
      <c r="I488" s="21" t="n">
        <v>1</v>
      </c>
      <c r="J488" s="21" t="n">
        <v>626.0599999999999</v>
      </c>
    </row>
    <row r="489">
      <c r="A489" s="19" t="n">
        <v>46278</v>
      </c>
      <c r="B489" t="inlineStr">
        <is>
          <t>Meta</t>
        </is>
      </c>
      <c r="C489" t="inlineStr">
        <is>
          <t>VID | Founder story | v1</t>
        </is>
      </c>
      <c r="D489" t="inlineStr">
        <is>
          <t>Prospecting | Broad | EG</t>
        </is>
      </c>
      <c r="E489" t="inlineStr">
        <is>
          <t>UGC-Founder</t>
        </is>
      </c>
      <c r="F489" t="n">
        <v>116.09</v>
      </c>
      <c r="G489" s="20" t="n">
        <v>1488</v>
      </c>
      <c r="H489" s="21" t="n">
        <v>21</v>
      </c>
      <c r="I489" s="21" t="n">
        <v>0</v>
      </c>
      <c r="J489" s="21" t="n">
        <v>0</v>
      </c>
    </row>
    <row r="490">
      <c r="A490" s="19" t="n">
        <v>46279</v>
      </c>
      <c r="B490" t="inlineStr">
        <is>
          <t>Meta</t>
        </is>
      </c>
      <c r="C490" t="inlineStr">
        <is>
          <t>VID | Founder story | v4</t>
        </is>
      </c>
      <c r="D490" t="inlineStr">
        <is>
          <t>Prospecting | Broad | EG</t>
        </is>
      </c>
      <c r="E490" t="inlineStr">
        <is>
          <t>UGC-Founder</t>
        </is>
      </c>
      <c r="F490" t="n">
        <v>545.28</v>
      </c>
      <c r="G490" s="20" t="n">
        <v>7123</v>
      </c>
      <c r="H490" s="21" t="n">
        <v>107</v>
      </c>
      <c r="I490" s="21" t="n">
        <v>2</v>
      </c>
      <c r="J490" s="21" t="n">
        <v>1505.91</v>
      </c>
    </row>
    <row r="491">
      <c r="A491" s="19" t="n">
        <v>46279</v>
      </c>
      <c r="B491" t="inlineStr">
        <is>
          <t>Meta</t>
        </is>
      </c>
      <c r="C491" t="inlineStr">
        <is>
          <t>STATIC | Bundle offer | v2</t>
        </is>
      </c>
      <c r="D491" t="inlineStr">
        <is>
          <t>Prospecting | Broad | EG</t>
        </is>
      </c>
      <c r="E491" t="inlineStr">
        <is>
          <t>Static-Bundle</t>
        </is>
      </c>
      <c r="F491" t="n">
        <v>439.3</v>
      </c>
      <c r="G491" s="20" t="n">
        <v>5739</v>
      </c>
      <c r="H491" s="21" t="n">
        <v>86</v>
      </c>
      <c r="I491" s="21" t="n">
        <v>1</v>
      </c>
      <c r="J491" s="21" t="n">
        <v>697.52</v>
      </c>
    </row>
    <row r="492">
      <c r="A492" s="19" t="n">
        <v>46279</v>
      </c>
      <c r="B492" t="inlineStr">
        <is>
          <t>Meta</t>
        </is>
      </c>
      <c r="C492" t="inlineStr">
        <is>
          <t>VID | Founder story | v3</t>
        </is>
      </c>
      <c r="D492" t="inlineStr">
        <is>
          <t>Prospecting | Broad | EG</t>
        </is>
      </c>
      <c r="E492" t="inlineStr">
        <is>
          <t>UGC-Founder</t>
        </is>
      </c>
      <c r="F492" t="n">
        <v>317.13</v>
      </c>
      <c r="G492" s="20" t="n">
        <v>4143</v>
      </c>
      <c r="H492" s="21" t="n">
        <v>62</v>
      </c>
      <c r="I492" s="21" t="n">
        <v>1</v>
      </c>
      <c r="J492" s="21" t="n">
        <v>700.76</v>
      </c>
    </row>
    <row r="493">
      <c r="A493" s="19" t="n">
        <v>46279</v>
      </c>
      <c r="B493" t="inlineStr">
        <is>
          <t>Meta</t>
        </is>
      </c>
      <c r="C493" t="inlineStr">
        <is>
          <t>VID | Review compilation | v1</t>
        </is>
      </c>
      <c r="D493" t="inlineStr">
        <is>
          <t>Prospecting | Interest | EG</t>
        </is>
      </c>
      <c r="E493" t="inlineStr">
        <is>
          <t>UGC-Reviews</t>
        </is>
      </c>
      <c r="F493" t="n">
        <v>292.86</v>
      </c>
      <c r="G493" s="20" t="n">
        <v>3826</v>
      </c>
      <c r="H493" s="21" t="n">
        <v>57</v>
      </c>
      <c r="I493" s="21" t="n">
        <v>1</v>
      </c>
      <c r="J493" s="21" t="n">
        <v>746.5</v>
      </c>
    </row>
    <row r="494">
      <c r="A494" s="19" t="n">
        <v>46279</v>
      </c>
      <c r="B494" t="inlineStr">
        <is>
          <t>Meta</t>
        </is>
      </c>
      <c r="C494" t="inlineStr">
        <is>
          <t>STATIC | Bundle offer | v1</t>
        </is>
      </c>
      <c r="D494" t="inlineStr">
        <is>
          <t>Test | Broad | EG</t>
        </is>
      </c>
      <c r="E494" t="inlineStr">
        <is>
          <t>Static-Bundle</t>
        </is>
      </c>
      <c r="F494" t="n">
        <v>228.86</v>
      </c>
      <c r="G494" s="20" t="n">
        <v>2990</v>
      </c>
      <c r="H494" s="21" t="n">
        <v>45</v>
      </c>
      <c r="I494" s="21" t="n">
        <v>1</v>
      </c>
      <c r="J494" s="21" t="n">
        <v>695.1900000000001</v>
      </c>
    </row>
    <row r="495">
      <c r="A495" s="19" t="n">
        <v>46279</v>
      </c>
      <c r="B495" t="inlineStr">
        <is>
          <t>Meta</t>
        </is>
      </c>
      <c r="C495" t="inlineStr">
        <is>
          <t>STATIC | Discount 20% | v1</t>
        </is>
      </c>
      <c r="D495" t="inlineStr">
        <is>
          <t>Retargeting | 7d IC</t>
        </is>
      </c>
      <c r="E495" t="inlineStr">
        <is>
          <t>Static-Discount</t>
        </is>
      </c>
      <c r="F495" t="n">
        <v>191.58</v>
      </c>
      <c r="G495" s="20" t="n">
        <v>2503</v>
      </c>
      <c r="H495" s="21" t="n">
        <v>37</v>
      </c>
      <c r="I495" s="21" t="n">
        <v>1</v>
      </c>
      <c r="J495" s="21" t="n">
        <v>748.22</v>
      </c>
    </row>
    <row r="496">
      <c r="A496" s="19" t="n">
        <v>46279</v>
      </c>
      <c r="B496" t="inlineStr">
        <is>
          <t>Meta</t>
        </is>
      </c>
      <c r="C496" t="inlineStr">
        <is>
          <t>CAROUSEL | Best sellers</t>
        </is>
      </c>
      <c r="D496" t="inlineStr">
        <is>
          <t>Retargeting | 14d ATC</t>
        </is>
      </c>
      <c r="E496" t="inlineStr">
        <is>
          <t>Carousel-Bestsellers</t>
        </is>
      </c>
      <c r="F496" t="n">
        <v>122.17</v>
      </c>
      <c r="G496" s="20" t="n">
        <v>1596</v>
      </c>
      <c r="H496" s="21" t="n">
        <v>24</v>
      </c>
      <c r="I496" s="21" t="n">
        <v>1</v>
      </c>
      <c r="J496" s="21" t="n">
        <v>758.55</v>
      </c>
    </row>
    <row r="497">
      <c r="A497" s="19" t="n">
        <v>46279</v>
      </c>
      <c r="B497" t="inlineStr">
        <is>
          <t>Meta</t>
        </is>
      </c>
      <c r="C497" t="inlineStr">
        <is>
          <t>VID | Founder story | v1</t>
        </is>
      </c>
      <c r="D497" t="inlineStr">
        <is>
          <t>Prospecting | Broad | EG</t>
        </is>
      </c>
      <c r="E497" t="inlineStr">
        <is>
          <t>UGC-Founder</t>
        </is>
      </c>
      <c r="F497" t="n">
        <v>89.45999999999999</v>
      </c>
      <c r="G497" s="20" t="n">
        <v>1169</v>
      </c>
      <c r="H497" s="21" t="n">
        <v>17</v>
      </c>
      <c r="I497" s="21" t="n">
        <v>0</v>
      </c>
      <c r="J497" s="21" t="n">
        <v>0</v>
      </c>
    </row>
    <row r="498">
      <c r="A498" s="19" t="n">
        <v>46280</v>
      </c>
      <c r="B498" t="inlineStr">
        <is>
          <t>Meta</t>
        </is>
      </c>
      <c r="C498" t="inlineStr">
        <is>
          <t>VID | Founder story | v4</t>
        </is>
      </c>
      <c r="D498" t="inlineStr">
        <is>
          <t>Prospecting | Broad | EG</t>
        </is>
      </c>
      <c r="E498" t="inlineStr">
        <is>
          <t>UGC-Founder</t>
        </is>
      </c>
      <c r="F498" t="n">
        <v>697.73</v>
      </c>
      <c r="G498" s="20" t="n">
        <v>9626</v>
      </c>
      <c r="H498" s="21" t="n">
        <v>147</v>
      </c>
      <c r="I498" s="21" t="n">
        <v>3</v>
      </c>
      <c r="J498" s="21" t="n">
        <v>2234.46</v>
      </c>
    </row>
    <row r="499">
      <c r="A499" s="19" t="n">
        <v>46280</v>
      </c>
      <c r="B499" t="inlineStr">
        <is>
          <t>Meta</t>
        </is>
      </c>
      <c r="C499" t="inlineStr">
        <is>
          <t>STATIC | Bundle offer | v2</t>
        </is>
      </c>
      <c r="D499" t="inlineStr">
        <is>
          <t>Prospecting | Broad | EG</t>
        </is>
      </c>
      <c r="E499" t="inlineStr">
        <is>
          <t>Static-Bundle</t>
        </is>
      </c>
      <c r="F499" t="n">
        <v>390.86</v>
      </c>
      <c r="G499" s="20" t="n">
        <v>5392</v>
      </c>
      <c r="H499" s="21" t="n">
        <v>83</v>
      </c>
      <c r="I499" s="21" t="n">
        <v>2</v>
      </c>
      <c r="J499" s="21" t="n">
        <v>1267</v>
      </c>
    </row>
    <row r="500">
      <c r="A500" s="19" t="n">
        <v>46280</v>
      </c>
      <c r="B500" t="inlineStr">
        <is>
          <t>Meta</t>
        </is>
      </c>
      <c r="C500" t="inlineStr">
        <is>
          <t>VID | Founder story | v3</t>
        </is>
      </c>
      <c r="D500" t="inlineStr">
        <is>
          <t>Prospecting | Broad | EG</t>
        </is>
      </c>
      <c r="E500" t="inlineStr">
        <is>
          <t>UGC-Founder</t>
        </is>
      </c>
      <c r="F500" t="n">
        <v>358.62</v>
      </c>
      <c r="G500" s="20" t="n">
        <v>4948</v>
      </c>
      <c r="H500" s="21" t="n">
        <v>76</v>
      </c>
      <c r="I500" s="21" t="n">
        <v>1</v>
      </c>
      <c r="J500" s="21" t="n">
        <v>732</v>
      </c>
    </row>
    <row r="501">
      <c r="A501" s="19" t="n">
        <v>46280</v>
      </c>
      <c r="B501" t="inlineStr">
        <is>
          <t>Meta</t>
        </is>
      </c>
      <c r="C501" t="inlineStr">
        <is>
          <t>VID | Review compilation | v1</t>
        </is>
      </c>
      <c r="D501" t="inlineStr">
        <is>
          <t>Prospecting | Interest | EG</t>
        </is>
      </c>
      <c r="E501" t="inlineStr">
        <is>
          <t>UGC-Reviews</t>
        </is>
      </c>
      <c r="F501" t="n">
        <v>363.06</v>
      </c>
      <c r="G501" s="20" t="n">
        <v>5009</v>
      </c>
      <c r="H501" s="21" t="n">
        <v>77</v>
      </c>
      <c r="I501" s="21" t="n">
        <v>1</v>
      </c>
      <c r="J501" s="21" t="n">
        <v>751</v>
      </c>
    </row>
    <row r="502">
      <c r="A502" s="19" t="n">
        <v>46280</v>
      </c>
      <c r="B502" t="inlineStr">
        <is>
          <t>Meta</t>
        </is>
      </c>
      <c r="C502" t="inlineStr">
        <is>
          <t>STATIC | Bundle offer | v1</t>
        </is>
      </c>
      <c r="D502" t="inlineStr">
        <is>
          <t>Test | Broad | EG</t>
        </is>
      </c>
      <c r="E502" t="inlineStr">
        <is>
          <t>Static-Bundle</t>
        </is>
      </c>
      <c r="F502" t="n">
        <v>224.2</v>
      </c>
      <c r="G502" s="20" t="n">
        <v>3093</v>
      </c>
      <c r="H502" s="21" t="n">
        <v>47</v>
      </c>
      <c r="I502" s="21" t="n">
        <v>1</v>
      </c>
      <c r="J502" s="21" t="n">
        <v>714.9299999999999</v>
      </c>
    </row>
    <row r="503">
      <c r="A503" s="19" t="n">
        <v>46280</v>
      </c>
      <c r="B503" t="inlineStr">
        <is>
          <t>Meta</t>
        </is>
      </c>
      <c r="C503" t="inlineStr">
        <is>
          <t>STATIC | Discount 20% | v1</t>
        </is>
      </c>
      <c r="D503" t="inlineStr">
        <is>
          <t>Retargeting | 7d IC</t>
        </is>
      </c>
      <c r="E503" t="inlineStr">
        <is>
          <t>Static-Discount</t>
        </is>
      </c>
      <c r="F503" t="n">
        <v>161.3</v>
      </c>
      <c r="G503" s="20" t="n">
        <v>2225</v>
      </c>
      <c r="H503" s="21" t="n">
        <v>34</v>
      </c>
      <c r="I503" s="21" t="n">
        <v>1</v>
      </c>
      <c r="J503" s="21" t="n">
        <v>726.25</v>
      </c>
    </row>
    <row r="504">
      <c r="A504" s="19" t="n">
        <v>46280</v>
      </c>
      <c r="B504" t="inlineStr">
        <is>
          <t>Meta</t>
        </is>
      </c>
      <c r="C504" t="inlineStr">
        <is>
          <t>CAROUSEL | Best sellers</t>
        </is>
      </c>
      <c r="D504" t="inlineStr">
        <is>
          <t>Retargeting | 14d ATC</t>
        </is>
      </c>
      <c r="E504" t="inlineStr">
        <is>
          <t>Carousel-Bestsellers</t>
        </is>
      </c>
      <c r="F504" t="n">
        <v>130.49</v>
      </c>
      <c r="G504" s="20" t="n">
        <v>1800</v>
      </c>
      <c r="H504" s="21" t="n">
        <v>28</v>
      </c>
      <c r="I504" s="21" t="n">
        <v>1</v>
      </c>
      <c r="J504" s="21" t="n">
        <v>641.36</v>
      </c>
    </row>
    <row r="505">
      <c r="A505" s="19" t="n">
        <v>46280</v>
      </c>
      <c r="B505" t="inlineStr">
        <is>
          <t>Meta</t>
        </is>
      </c>
      <c r="C505" t="inlineStr">
        <is>
          <t>VID | Founder story | v1</t>
        </is>
      </c>
      <c r="D505" t="inlineStr">
        <is>
          <t>Prospecting | Broad | EG</t>
        </is>
      </c>
      <c r="E505" t="inlineStr">
        <is>
          <t>UGC-Founder</t>
        </is>
      </c>
      <c r="F505" t="n">
        <v>100.45</v>
      </c>
      <c r="G505" s="20" t="n">
        <v>1386</v>
      </c>
      <c r="H505" s="21" t="n">
        <v>21</v>
      </c>
      <c r="I505" s="21" t="n">
        <v>0</v>
      </c>
      <c r="J505" s="21" t="n">
        <v>0</v>
      </c>
    </row>
    <row r="506">
      <c r="A506" s="19" t="n">
        <v>46281</v>
      </c>
      <c r="B506" t="inlineStr">
        <is>
          <t>Meta</t>
        </is>
      </c>
      <c r="C506" t="inlineStr">
        <is>
          <t>VID | Founder story | v4</t>
        </is>
      </c>
      <c r="D506" t="inlineStr">
        <is>
          <t>Prospecting | Broad | EG</t>
        </is>
      </c>
      <c r="E506" t="inlineStr">
        <is>
          <t>UGC-Founder</t>
        </is>
      </c>
      <c r="F506" t="n">
        <v>800.52</v>
      </c>
      <c r="G506" s="20" t="n">
        <v>10922</v>
      </c>
      <c r="H506" s="21" t="n">
        <v>187</v>
      </c>
      <c r="I506" s="21" t="n">
        <v>3</v>
      </c>
      <c r="J506" s="21" t="n">
        <v>2195.59</v>
      </c>
    </row>
    <row r="507">
      <c r="A507" s="19" t="n">
        <v>46281</v>
      </c>
      <c r="B507" t="inlineStr">
        <is>
          <t>Meta</t>
        </is>
      </c>
      <c r="C507" t="inlineStr">
        <is>
          <t>STATIC | Bundle offer | v2</t>
        </is>
      </c>
      <c r="D507" t="inlineStr">
        <is>
          <t>Prospecting | Broad | EG</t>
        </is>
      </c>
      <c r="E507" t="inlineStr">
        <is>
          <t>Static-Bundle</t>
        </is>
      </c>
      <c r="F507" t="n">
        <v>608.27</v>
      </c>
      <c r="G507" s="20" t="n">
        <v>8299</v>
      </c>
      <c r="H507" s="21" t="n">
        <v>142</v>
      </c>
      <c r="I507" s="21" t="n">
        <v>2</v>
      </c>
      <c r="J507" s="21" t="n">
        <v>1297.36</v>
      </c>
    </row>
    <row r="508">
      <c r="A508" s="19" t="n">
        <v>46281</v>
      </c>
      <c r="B508" t="inlineStr">
        <is>
          <t>Meta</t>
        </is>
      </c>
      <c r="C508" t="inlineStr">
        <is>
          <t>VID | Founder story | v3</t>
        </is>
      </c>
      <c r="D508" t="inlineStr">
        <is>
          <t>Prospecting | Broad | EG</t>
        </is>
      </c>
      <c r="E508" t="inlineStr">
        <is>
          <t>UGC-Founder</t>
        </is>
      </c>
      <c r="F508" t="n">
        <v>451.32</v>
      </c>
      <c r="G508" s="20" t="n">
        <v>6158</v>
      </c>
      <c r="H508" s="21" t="n">
        <v>105</v>
      </c>
      <c r="I508" s="21" t="n">
        <v>1</v>
      </c>
      <c r="J508" s="21" t="n">
        <v>751.41</v>
      </c>
    </row>
    <row r="509">
      <c r="A509" s="19" t="n">
        <v>46281</v>
      </c>
      <c r="B509" t="inlineStr">
        <is>
          <t>Meta</t>
        </is>
      </c>
      <c r="C509" t="inlineStr">
        <is>
          <t>VID | Review compilation | v1</t>
        </is>
      </c>
      <c r="D509" t="inlineStr">
        <is>
          <t>Prospecting | Interest | EG</t>
        </is>
      </c>
      <c r="E509" t="inlineStr">
        <is>
          <t>UGC-Reviews</t>
        </is>
      </c>
      <c r="F509" t="n">
        <v>360.93</v>
      </c>
      <c r="G509" s="20" t="n">
        <v>4924</v>
      </c>
      <c r="H509" s="21" t="n">
        <v>84</v>
      </c>
      <c r="I509" s="21" t="n">
        <v>1</v>
      </c>
      <c r="J509" s="21" t="n">
        <v>664.86</v>
      </c>
    </row>
    <row r="510">
      <c r="A510" s="19" t="n">
        <v>46281</v>
      </c>
      <c r="B510" t="inlineStr">
        <is>
          <t>Meta</t>
        </is>
      </c>
      <c r="C510" t="inlineStr">
        <is>
          <t>STATIC | Bundle offer | v1</t>
        </is>
      </c>
      <c r="D510" t="inlineStr">
        <is>
          <t>Test | Broad | EG</t>
        </is>
      </c>
      <c r="E510" t="inlineStr">
        <is>
          <t>Static-Bundle</t>
        </is>
      </c>
      <c r="F510" t="n">
        <v>290.64</v>
      </c>
      <c r="G510" s="20" t="n">
        <v>3965</v>
      </c>
      <c r="H510" s="21" t="n">
        <v>68</v>
      </c>
      <c r="I510" s="21" t="n">
        <v>1</v>
      </c>
      <c r="J510" s="21" t="n">
        <v>740.14</v>
      </c>
    </row>
    <row r="511">
      <c r="A511" s="19" t="n">
        <v>46281</v>
      </c>
      <c r="B511" t="inlineStr">
        <is>
          <t>Meta</t>
        </is>
      </c>
      <c r="C511" t="inlineStr">
        <is>
          <t>STATIC | Discount 20% | v1</t>
        </is>
      </c>
      <c r="D511" t="inlineStr">
        <is>
          <t>Retargeting | 7d IC</t>
        </is>
      </c>
      <c r="E511" t="inlineStr">
        <is>
          <t>Static-Discount</t>
        </is>
      </c>
      <c r="F511" t="n">
        <v>251.71</v>
      </c>
      <c r="G511" s="20" t="n">
        <v>3434</v>
      </c>
      <c r="H511" s="21" t="n">
        <v>59</v>
      </c>
      <c r="I511" s="21" t="n">
        <v>2</v>
      </c>
      <c r="J511" s="21" t="n">
        <v>1293.13</v>
      </c>
    </row>
    <row r="512">
      <c r="A512" s="19" t="n">
        <v>46281</v>
      </c>
      <c r="B512" t="inlineStr">
        <is>
          <t>Meta</t>
        </is>
      </c>
      <c r="C512" t="inlineStr">
        <is>
          <t>CAROUSEL | Best sellers</t>
        </is>
      </c>
      <c r="D512" t="inlineStr">
        <is>
          <t>Retargeting | 14d ATC</t>
        </is>
      </c>
      <c r="E512" t="inlineStr">
        <is>
          <t>Carousel-Bestsellers</t>
        </is>
      </c>
      <c r="F512" t="n">
        <v>135.7</v>
      </c>
      <c r="G512" s="20" t="n">
        <v>1851</v>
      </c>
      <c r="H512" s="21" t="n">
        <v>32</v>
      </c>
      <c r="I512" s="21" t="n">
        <v>1</v>
      </c>
      <c r="J512" s="21" t="n">
        <v>696.5</v>
      </c>
    </row>
    <row r="513">
      <c r="A513" s="19" t="n">
        <v>46281</v>
      </c>
      <c r="B513" t="inlineStr">
        <is>
          <t>Meta</t>
        </is>
      </c>
      <c r="C513" t="inlineStr">
        <is>
          <t>VID | Founder story | v1</t>
        </is>
      </c>
      <c r="D513" t="inlineStr">
        <is>
          <t>Prospecting | Broad | EG</t>
        </is>
      </c>
      <c r="E513" t="inlineStr">
        <is>
          <t>UGC-Founder</t>
        </is>
      </c>
      <c r="F513" t="n">
        <v>119.25</v>
      </c>
      <c r="G513" s="20" t="n">
        <v>1627</v>
      </c>
      <c r="H513" s="21" t="n">
        <v>28</v>
      </c>
      <c r="I513" s="21" t="n">
        <v>0</v>
      </c>
      <c r="J513" s="21" t="n">
        <v>0</v>
      </c>
    </row>
    <row r="514">
      <c r="A514" s="19" t="n">
        <v>46282</v>
      </c>
      <c r="B514" t="inlineStr">
        <is>
          <t>Meta</t>
        </is>
      </c>
      <c r="C514" t="inlineStr">
        <is>
          <t>VID | Founder story | v4</t>
        </is>
      </c>
      <c r="D514" t="inlineStr">
        <is>
          <t>Prospecting | Broad | EG</t>
        </is>
      </c>
      <c r="E514" t="inlineStr">
        <is>
          <t>UGC-Founder</t>
        </is>
      </c>
      <c r="F514" t="n">
        <v>887.66</v>
      </c>
      <c r="G514" s="20" t="n">
        <v>11247</v>
      </c>
      <c r="H514" s="21" t="n">
        <v>181</v>
      </c>
      <c r="I514" s="21" t="n">
        <v>4</v>
      </c>
      <c r="J514" s="21" t="n">
        <v>2754.04</v>
      </c>
    </row>
    <row r="515">
      <c r="A515" s="19" t="n">
        <v>46282</v>
      </c>
      <c r="B515" t="inlineStr">
        <is>
          <t>Meta</t>
        </is>
      </c>
      <c r="C515" t="inlineStr">
        <is>
          <t>STATIC | Bundle offer | v2</t>
        </is>
      </c>
      <c r="D515" t="inlineStr">
        <is>
          <t>Prospecting | Broad | EG</t>
        </is>
      </c>
      <c r="E515" t="inlineStr">
        <is>
          <t>Static-Bundle</t>
        </is>
      </c>
      <c r="F515" t="n">
        <v>602.39</v>
      </c>
      <c r="G515" s="20" t="n">
        <v>7632</v>
      </c>
      <c r="H515" s="21" t="n">
        <v>123</v>
      </c>
      <c r="I515" s="21" t="n">
        <v>2</v>
      </c>
      <c r="J515" s="21" t="n">
        <v>1434.37</v>
      </c>
    </row>
    <row r="516">
      <c r="A516" s="19" t="n">
        <v>46282</v>
      </c>
      <c r="B516" t="inlineStr">
        <is>
          <t>Meta</t>
        </is>
      </c>
      <c r="C516" t="inlineStr">
        <is>
          <t>VID | Founder story | v3</t>
        </is>
      </c>
      <c r="D516" t="inlineStr">
        <is>
          <t>Prospecting | Broad | EG</t>
        </is>
      </c>
      <c r="E516" t="inlineStr">
        <is>
          <t>UGC-Founder</t>
        </is>
      </c>
      <c r="F516" t="n">
        <v>487.27</v>
      </c>
      <c r="G516" s="20" t="n">
        <v>6174</v>
      </c>
      <c r="H516" s="21" t="n">
        <v>99</v>
      </c>
      <c r="I516" s="21" t="n">
        <v>2</v>
      </c>
      <c r="J516" s="21" t="n">
        <v>1241.19</v>
      </c>
    </row>
    <row r="517">
      <c r="A517" s="19" t="n">
        <v>46282</v>
      </c>
      <c r="B517" t="inlineStr">
        <is>
          <t>Meta</t>
        </is>
      </c>
      <c r="C517" t="inlineStr">
        <is>
          <t>VID | Review compilation | v1</t>
        </is>
      </c>
      <c r="D517" t="inlineStr">
        <is>
          <t>Prospecting | Interest | EG</t>
        </is>
      </c>
      <c r="E517" t="inlineStr">
        <is>
          <t>UGC-Reviews</t>
        </is>
      </c>
      <c r="F517" t="n">
        <v>459.99</v>
      </c>
      <c r="G517" s="20" t="n">
        <v>5828</v>
      </c>
      <c r="H517" s="21" t="n">
        <v>94</v>
      </c>
      <c r="I517" s="21" t="n">
        <v>2</v>
      </c>
      <c r="J517" s="21" t="n">
        <v>1404.99</v>
      </c>
    </row>
    <row r="518">
      <c r="A518" s="19" t="n">
        <v>46282</v>
      </c>
      <c r="B518" t="inlineStr">
        <is>
          <t>Meta</t>
        </is>
      </c>
      <c r="C518" t="inlineStr">
        <is>
          <t>STATIC | Bundle offer | v1</t>
        </is>
      </c>
      <c r="D518" t="inlineStr">
        <is>
          <t>Test | Broad | EG</t>
        </is>
      </c>
      <c r="E518" t="inlineStr">
        <is>
          <t>Static-Bundle</t>
        </is>
      </c>
      <c r="F518" t="n">
        <v>279.2</v>
      </c>
      <c r="G518" s="20" t="n">
        <v>3538</v>
      </c>
      <c r="H518" s="21" t="n">
        <v>57</v>
      </c>
      <c r="I518" s="21" t="n">
        <v>1</v>
      </c>
      <c r="J518" s="21" t="n">
        <v>613.46</v>
      </c>
    </row>
    <row r="519">
      <c r="A519" s="19" t="n">
        <v>46282</v>
      </c>
      <c r="B519" t="inlineStr">
        <is>
          <t>Meta</t>
        </is>
      </c>
      <c r="C519" t="inlineStr">
        <is>
          <t>STATIC | Discount 20% | v1</t>
        </is>
      </c>
      <c r="D519" t="inlineStr">
        <is>
          <t>Retargeting | 7d IC</t>
        </is>
      </c>
      <c r="E519" t="inlineStr">
        <is>
          <t>Static-Discount</t>
        </is>
      </c>
      <c r="F519" t="n">
        <v>244.45</v>
      </c>
      <c r="G519" s="20" t="n">
        <v>3097</v>
      </c>
      <c r="H519" s="21" t="n">
        <v>50</v>
      </c>
      <c r="I519" s="21" t="n">
        <v>2</v>
      </c>
      <c r="J519" s="21" t="n">
        <v>1337.42</v>
      </c>
    </row>
    <row r="520">
      <c r="A520" s="19" t="n">
        <v>46282</v>
      </c>
      <c r="B520" t="inlineStr">
        <is>
          <t>Meta</t>
        </is>
      </c>
      <c r="C520" t="inlineStr">
        <is>
          <t>CAROUSEL | Best sellers</t>
        </is>
      </c>
      <c r="D520" t="inlineStr">
        <is>
          <t>Retargeting | 14d ATC</t>
        </is>
      </c>
      <c r="E520" t="inlineStr">
        <is>
          <t>Carousel-Bestsellers</t>
        </is>
      </c>
      <c r="F520" t="n">
        <v>169.93</v>
      </c>
      <c r="G520" s="20" t="n">
        <v>2153</v>
      </c>
      <c r="H520" s="21" t="n">
        <v>35</v>
      </c>
      <c r="I520" s="21" t="n">
        <v>2</v>
      </c>
      <c r="J520" s="21" t="n">
        <v>1365.49</v>
      </c>
    </row>
    <row r="521">
      <c r="A521" s="19" t="n">
        <v>46282</v>
      </c>
      <c r="B521" t="inlineStr">
        <is>
          <t>Meta</t>
        </is>
      </c>
      <c r="C521" t="inlineStr">
        <is>
          <t>VID | Founder story | v1</t>
        </is>
      </c>
      <c r="D521" t="inlineStr">
        <is>
          <t>Prospecting | Broad | EG</t>
        </is>
      </c>
      <c r="E521" t="inlineStr">
        <is>
          <t>UGC-Founder</t>
        </is>
      </c>
      <c r="F521" t="n">
        <v>171.13</v>
      </c>
      <c r="G521" s="20" t="n">
        <v>2168</v>
      </c>
      <c r="H521" s="21" t="n">
        <v>35</v>
      </c>
      <c r="I521" s="21" t="n">
        <v>0</v>
      </c>
      <c r="J521" s="21" t="n">
        <v>0</v>
      </c>
    </row>
    <row r="522">
      <c r="A522" s="19" t="n">
        <v>46283</v>
      </c>
      <c r="B522" t="inlineStr">
        <is>
          <t>Meta</t>
        </is>
      </c>
      <c r="C522" t="inlineStr">
        <is>
          <t>VID | Founder story | v4</t>
        </is>
      </c>
      <c r="D522" t="inlineStr">
        <is>
          <t>Prospecting | Broad | EG</t>
        </is>
      </c>
      <c r="E522" t="inlineStr">
        <is>
          <t>UGC-Founder</t>
        </is>
      </c>
      <c r="F522" t="n">
        <v>989.3200000000001</v>
      </c>
      <c r="G522" s="20" t="n">
        <v>13300</v>
      </c>
      <c r="H522" s="21" t="n">
        <v>236</v>
      </c>
      <c r="I522" s="21" t="n">
        <v>4</v>
      </c>
      <c r="J522" s="21" t="n">
        <v>2647.25</v>
      </c>
    </row>
    <row r="523">
      <c r="A523" s="19" t="n">
        <v>46283</v>
      </c>
      <c r="B523" t="inlineStr">
        <is>
          <t>Meta</t>
        </is>
      </c>
      <c r="C523" t="inlineStr">
        <is>
          <t>STATIC | Bundle offer | v2</t>
        </is>
      </c>
      <c r="D523" t="inlineStr">
        <is>
          <t>Prospecting | Broad | EG</t>
        </is>
      </c>
      <c r="E523" t="inlineStr">
        <is>
          <t>Static-Bundle</t>
        </is>
      </c>
      <c r="F523" t="n">
        <v>603</v>
      </c>
      <c r="G523" s="20" t="n">
        <v>8107</v>
      </c>
      <c r="H523" s="21" t="n">
        <v>144</v>
      </c>
      <c r="I523" s="21" t="n">
        <v>2</v>
      </c>
      <c r="J523" s="21" t="n">
        <v>1190.47</v>
      </c>
    </row>
    <row r="524">
      <c r="A524" s="19" t="n">
        <v>46283</v>
      </c>
      <c r="B524" t="inlineStr">
        <is>
          <t>Meta</t>
        </is>
      </c>
      <c r="C524" t="inlineStr">
        <is>
          <t>VID | Founder story | v3</t>
        </is>
      </c>
      <c r="D524" t="inlineStr">
        <is>
          <t>Prospecting | Broad | EG</t>
        </is>
      </c>
      <c r="E524" t="inlineStr">
        <is>
          <t>UGC-Founder</t>
        </is>
      </c>
      <c r="F524" t="n">
        <v>455.57</v>
      </c>
      <c r="G524" s="20" t="n">
        <v>6125</v>
      </c>
      <c r="H524" s="21" t="n">
        <v>109</v>
      </c>
      <c r="I524" s="21" t="n">
        <v>2</v>
      </c>
      <c r="J524" s="21" t="n">
        <v>1371.8</v>
      </c>
    </row>
    <row r="525">
      <c r="A525" s="19" t="n">
        <v>46283</v>
      </c>
      <c r="B525" t="inlineStr">
        <is>
          <t>Meta</t>
        </is>
      </c>
      <c r="C525" t="inlineStr">
        <is>
          <t>VID | Review compilation | v1</t>
        </is>
      </c>
      <c r="D525" t="inlineStr">
        <is>
          <t>Prospecting | Interest | EG</t>
        </is>
      </c>
      <c r="E525" t="inlineStr">
        <is>
          <t>UGC-Reviews</t>
        </is>
      </c>
      <c r="F525" t="n">
        <v>495.94</v>
      </c>
      <c r="G525" s="20" t="n">
        <v>6667</v>
      </c>
      <c r="H525" s="21" t="n">
        <v>118</v>
      </c>
      <c r="I525" s="21" t="n">
        <v>2</v>
      </c>
      <c r="J525" s="21" t="n">
        <v>1268.58</v>
      </c>
    </row>
    <row r="526">
      <c r="A526" s="19" t="n">
        <v>46283</v>
      </c>
      <c r="B526" t="inlineStr">
        <is>
          <t>Meta</t>
        </is>
      </c>
      <c r="C526" t="inlineStr">
        <is>
          <t>STATIC | Bundle offer | v1</t>
        </is>
      </c>
      <c r="D526" t="inlineStr">
        <is>
          <t>Test | Broad | EG</t>
        </is>
      </c>
      <c r="E526" t="inlineStr">
        <is>
          <t>Static-Bundle</t>
        </is>
      </c>
      <c r="F526" t="n">
        <v>261.41</v>
      </c>
      <c r="G526" s="20" t="n">
        <v>3514</v>
      </c>
      <c r="H526" s="21" t="n">
        <v>62</v>
      </c>
      <c r="I526" s="21" t="n">
        <v>1</v>
      </c>
      <c r="J526" s="21" t="n">
        <v>607.17</v>
      </c>
    </row>
    <row r="527">
      <c r="A527" s="19" t="n">
        <v>46283</v>
      </c>
      <c r="B527" t="inlineStr">
        <is>
          <t>Meta</t>
        </is>
      </c>
      <c r="C527" t="inlineStr">
        <is>
          <t>STATIC | Discount 20% | v1</t>
        </is>
      </c>
      <c r="D527" t="inlineStr">
        <is>
          <t>Retargeting | 7d IC</t>
        </is>
      </c>
      <c r="E527" t="inlineStr">
        <is>
          <t>Static-Discount</t>
        </is>
      </c>
      <c r="F527" t="n">
        <v>283.71</v>
      </c>
      <c r="G527" s="20" t="n">
        <v>3814</v>
      </c>
      <c r="H527" s="21" t="n">
        <v>68</v>
      </c>
      <c r="I527" s="21" t="n">
        <v>2</v>
      </c>
      <c r="J527" s="21" t="n">
        <v>1315.37</v>
      </c>
    </row>
    <row r="528">
      <c r="A528" s="19" t="n">
        <v>46283</v>
      </c>
      <c r="B528" t="inlineStr">
        <is>
          <t>Meta</t>
        </is>
      </c>
      <c r="C528" t="inlineStr">
        <is>
          <t>CAROUSEL | Best sellers</t>
        </is>
      </c>
      <c r="D528" t="inlineStr">
        <is>
          <t>Retargeting | 14d ATC</t>
        </is>
      </c>
      <c r="E528" t="inlineStr">
        <is>
          <t>Carousel-Bestsellers</t>
        </is>
      </c>
      <c r="F528" t="n">
        <v>179.75</v>
      </c>
      <c r="G528" s="20" t="n">
        <v>2416</v>
      </c>
      <c r="H528" s="21" t="n">
        <v>43</v>
      </c>
      <c r="I528" s="21" t="n">
        <v>1</v>
      </c>
      <c r="J528" s="21" t="n">
        <v>617.41</v>
      </c>
    </row>
    <row r="529">
      <c r="A529" s="19" t="n">
        <v>46283</v>
      </c>
      <c r="B529" t="inlineStr">
        <is>
          <t>Meta</t>
        </is>
      </c>
      <c r="C529" t="inlineStr">
        <is>
          <t>VID | Founder story | v1</t>
        </is>
      </c>
      <c r="D529" t="inlineStr">
        <is>
          <t>Prospecting | Broad | EG</t>
        </is>
      </c>
      <c r="E529" t="inlineStr">
        <is>
          <t>UGC-Founder</t>
        </is>
      </c>
      <c r="F529" t="n">
        <v>134.02</v>
      </c>
      <c r="G529" s="20" t="n">
        <v>1802</v>
      </c>
      <c r="H529" s="21" t="n">
        <v>32</v>
      </c>
      <c r="I529" s="21" t="n">
        <v>0</v>
      </c>
      <c r="J529" s="21" t="n">
        <v>0</v>
      </c>
    </row>
    <row r="530">
      <c r="A530" s="19" t="n">
        <v>46284</v>
      </c>
      <c r="B530" t="inlineStr">
        <is>
          <t>Meta</t>
        </is>
      </c>
      <c r="C530" t="inlineStr">
        <is>
          <t>VID | Founder story | v4</t>
        </is>
      </c>
      <c r="D530" t="inlineStr">
        <is>
          <t>Prospecting | Broad | EG</t>
        </is>
      </c>
      <c r="E530" t="inlineStr">
        <is>
          <t>UGC-Founder</t>
        </is>
      </c>
      <c r="F530" t="n">
        <v>1151.05</v>
      </c>
      <c r="G530" s="20" t="n">
        <v>15043</v>
      </c>
      <c r="H530" s="21" t="n">
        <v>254</v>
      </c>
      <c r="I530" s="21" t="n">
        <v>5</v>
      </c>
      <c r="J530" s="21" t="n">
        <v>3482.93</v>
      </c>
    </row>
    <row r="531">
      <c r="A531" s="19" t="n">
        <v>46284</v>
      </c>
      <c r="B531" t="inlineStr">
        <is>
          <t>Meta</t>
        </is>
      </c>
      <c r="C531" t="inlineStr">
        <is>
          <t>STATIC | Bundle offer | v2</t>
        </is>
      </c>
      <c r="D531" t="inlineStr">
        <is>
          <t>Prospecting | Broad | EG</t>
        </is>
      </c>
      <c r="E531" t="inlineStr">
        <is>
          <t>Static-Bundle</t>
        </is>
      </c>
      <c r="F531" t="n">
        <v>618.2</v>
      </c>
      <c r="G531" s="20" t="n">
        <v>8079</v>
      </c>
      <c r="H531" s="21" t="n">
        <v>136</v>
      </c>
      <c r="I531" s="21" t="n">
        <v>2</v>
      </c>
      <c r="J531" s="21" t="n">
        <v>1303.18</v>
      </c>
    </row>
    <row r="532">
      <c r="A532" s="19" t="n">
        <v>46284</v>
      </c>
      <c r="B532" t="inlineStr">
        <is>
          <t>Meta</t>
        </is>
      </c>
      <c r="C532" t="inlineStr">
        <is>
          <t>VID | Founder story | v3</t>
        </is>
      </c>
      <c r="D532" t="inlineStr">
        <is>
          <t>Prospecting | Broad | EG</t>
        </is>
      </c>
      <c r="E532" t="inlineStr">
        <is>
          <t>UGC-Founder</t>
        </is>
      </c>
      <c r="F532" t="n">
        <v>587.79</v>
      </c>
      <c r="G532" s="20" t="n">
        <v>7682</v>
      </c>
      <c r="H532" s="21" t="n">
        <v>130</v>
      </c>
      <c r="I532" s="21" t="n">
        <v>2</v>
      </c>
      <c r="J532" s="21" t="n">
        <v>1312.45</v>
      </c>
    </row>
    <row r="533">
      <c r="A533" s="19" t="n">
        <v>46284</v>
      </c>
      <c r="B533" t="inlineStr">
        <is>
          <t>Meta</t>
        </is>
      </c>
      <c r="C533" t="inlineStr">
        <is>
          <t>VID | Review compilation | v1</t>
        </is>
      </c>
      <c r="D533" t="inlineStr">
        <is>
          <t>Prospecting | Interest | EG</t>
        </is>
      </c>
      <c r="E533" t="inlineStr">
        <is>
          <t>UGC-Reviews</t>
        </is>
      </c>
      <c r="F533" t="n">
        <v>496.7</v>
      </c>
      <c r="G533" s="20" t="n">
        <v>6491</v>
      </c>
      <c r="H533" s="21" t="n">
        <v>109</v>
      </c>
      <c r="I533" s="21" t="n">
        <v>2</v>
      </c>
      <c r="J533" s="21" t="n">
        <v>1345.9</v>
      </c>
    </row>
    <row r="534">
      <c r="A534" s="19" t="n">
        <v>46284</v>
      </c>
      <c r="B534" t="inlineStr">
        <is>
          <t>Meta</t>
        </is>
      </c>
      <c r="C534" t="inlineStr">
        <is>
          <t>STATIC | Bundle offer | v1</t>
        </is>
      </c>
      <c r="D534" t="inlineStr">
        <is>
          <t>Test | Broad | EG</t>
        </is>
      </c>
      <c r="E534" t="inlineStr">
        <is>
          <t>Static-Bundle</t>
        </is>
      </c>
      <c r="F534" t="n">
        <v>372.49</v>
      </c>
      <c r="G534" s="20" t="n">
        <v>4868</v>
      </c>
      <c r="H534" s="21" t="n">
        <v>82</v>
      </c>
      <c r="I534" s="21" t="n">
        <v>1</v>
      </c>
      <c r="J534" s="21" t="n">
        <v>740.5</v>
      </c>
    </row>
    <row r="535">
      <c r="A535" s="19" t="n">
        <v>46284</v>
      </c>
      <c r="B535" t="inlineStr">
        <is>
          <t>Meta</t>
        </is>
      </c>
      <c r="C535" t="inlineStr">
        <is>
          <t>STATIC | Discount 20% | v1</t>
        </is>
      </c>
      <c r="D535" t="inlineStr">
        <is>
          <t>Retargeting | 7d IC</t>
        </is>
      </c>
      <c r="E535" t="inlineStr">
        <is>
          <t>Static-Discount</t>
        </is>
      </c>
      <c r="F535" t="n">
        <v>341.23</v>
      </c>
      <c r="G535" s="20" t="n">
        <v>4459</v>
      </c>
      <c r="H535" s="21" t="n">
        <v>75</v>
      </c>
      <c r="I535" s="21" t="n">
        <v>3</v>
      </c>
      <c r="J535" s="21" t="n">
        <v>2141.68</v>
      </c>
    </row>
    <row r="536">
      <c r="A536" s="19" t="n">
        <v>46284</v>
      </c>
      <c r="B536" t="inlineStr">
        <is>
          <t>Meta</t>
        </is>
      </c>
      <c r="C536" t="inlineStr">
        <is>
          <t>CAROUSEL | Best sellers</t>
        </is>
      </c>
      <c r="D536" t="inlineStr">
        <is>
          <t>Retargeting | 14d ATC</t>
        </is>
      </c>
      <c r="E536" t="inlineStr">
        <is>
          <t>Carousel-Bestsellers</t>
        </is>
      </c>
      <c r="F536" t="n">
        <v>213.95</v>
      </c>
      <c r="G536" s="20" t="n">
        <v>2796</v>
      </c>
      <c r="H536" s="21" t="n">
        <v>47</v>
      </c>
      <c r="I536" s="21" t="n">
        <v>2</v>
      </c>
      <c r="J536" s="21" t="n">
        <v>1451.08</v>
      </c>
    </row>
    <row r="537">
      <c r="A537" s="19" t="n">
        <v>46284</v>
      </c>
      <c r="B537" t="inlineStr">
        <is>
          <t>Meta</t>
        </is>
      </c>
      <c r="C537" t="inlineStr">
        <is>
          <t>VID | Founder story | v1</t>
        </is>
      </c>
      <c r="D537" t="inlineStr">
        <is>
          <t>Prospecting | Broad | EG</t>
        </is>
      </c>
      <c r="E537" t="inlineStr">
        <is>
          <t>UGC-Founder</t>
        </is>
      </c>
      <c r="F537" t="n">
        <v>175.05</v>
      </c>
      <c r="G537" s="20" t="n">
        <v>2288</v>
      </c>
      <c r="H537" s="21" t="n">
        <v>39</v>
      </c>
      <c r="I537" s="21" t="n">
        <v>0</v>
      </c>
      <c r="J537" s="21" t="n">
        <v>0</v>
      </c>
    </row>
    <row r="538">
      <c r="A538" s="19" t="n">
        <v>46285</v>
      </c>
      <c r="B538" t="inlineStr">
        <is>
          <t>Meta</t>
        </is>
      </c>
      <c r="C538" t="inlineStr">
        <is>
          <t>VID | Founder story | v4</t>
        </is>
      </c>
      <c r="D538" t="inlineStr">
        <is>
          <t>Prospecting | Broad | EG</t>
        </is>
      </c>
      <c r="E538" t="inlineStr">
        <is>
          <t>UGC-Founder</t>
        </is>
      </c>
      <c r="F538" t="n">
        <v>932.1</v>
      </c>
      <c r="G538" s="20" t="n">
        <v>11632</v>
      </c>
      <c r="H538" s="21" t="n">
        <v>200</v>
      </c>
      <c r="I538" s="21" t="n">
        <v>4</v>
      </c>
      <c r="J538" s="21" t="n">
        <v>2671.99</v>
      </c>
    </row>
    <row r="539">
      <c r="A539" s="19" t="n">
        <v>46285</v>
      </c>
      <c r="B539" t="inlineStr">
        <is>
          <t>Meta</t>
        </is>
      </c>
      <c r="C539" t="inlineStr">
        <is>
          <t>STATIC | Bundle offer | v2</t>
        </is>
      </c>
      <c r="D539" t="inlineStr">
        <is>
          <t>Prospecting | Broad | EG</t>
        </is>
      </c>
      <c r="E539" t="inlineStr">
        <is>
          <t>Static-Bundle</t>
        </is>
      </c>
      <c r="F539" t="n">
        <v>641.35</v>
      </c>
      <c r="G539" s="20" t="n">
        <v>8004</v>
      </c>
      <c r="H539" s="21" t="n">
        <v>138</v>
      </c>
      <c r="I539" s="21" t="n">
        <v>2</v>
      </c>
      <c r="J539" s="21" t="n">
        <v>1437.61</v>
      </c>
    </row>
    <row r="540">
      <c r="A540" s="19" t="n">
        <v>46285</v>
      </c>
      <c r="B540" t="inlineStr">
        <is>
          <t>Meta</t>
        </is>
      </c>
      <c r="C540" t="inlineStr">
        <is>
          <t>VID | Founder story | v3</t>
        </is>
      </c>
      <c r="D540" t="inlineStr">
        <is>
          <t>Prospecting | Broad | EG</t>
        </is>
      </c>
      <c r="E540" t="inlineStr">
        <is>
          <t>UGC-Founder</t>
        </is>
      </c>
      <c r="F540" t="n">
        <v>547.9400000000001</v>
      </c>
      <c r="G540" s="20" t="n">
        <v>6838</v>
      </c>
      <c r="H540" s="21" t="n">
        <v>118</v>
      </c>
      <c r="I540" s="21" t="n">
        <v>2</v>
      </c>
      <c r="J540" s="21" t="n">
        <v>1439.17</v>
      </c>
    </row>
    <row r="541">
      <c r="A541" s="19" t="n">
        <v>46285</v>
      </c>
      <c r="B541" t="inlineStr">
        <is>
          <t>Meta</t>
        </is>
      </c>
      <c r="C541" t="inlineStr">
        <is>
          <t>VID | Review compilation | v1</t>
        </is>
      </c>
      <c r="D541" t="inlineStr">
        <is>
          <t>Prospecting | Interest | EG</t>
        </is>
      </c>
      <c r="E541" t="inlineStr">
        <is>
          <t>UGC-Reviews</t>
        </is>
      </c>
      <c r="F541" t="n">
        <v>448.8</v>
      </c>
      <c r="G541" s="20" t="n">
        <v>5601</v>
      </c>
      <c r="H541" s="21" t="n">
        <v>96</v>
      </c>
      <c r="I541" s="21" t="n">
        <v>2</v>
      </c>
      <c r="J541" s="21" t="n">
        <v>1330.32</v>
      </c>
    </row>
    <row r="542">
      <c r="A542" s="19" t="n">
        <v>46285</v>
      </c>
      <c r="B542" t="inlineStr">
        <is>
          <t>Meta</t>
        </is>
      </c>
      <c r="C542" t="inlineStr">
        <is>
          <t>STATIC | Bundle offer | v1</t>
        </is>
      </c>
      <c r="D542" t="inlineStr">
        <is>
          <t>Test | Broad | EG</t>
        </is>
      </c>
      <c r="E542" t="inlineStr">
        <is>
          <t>Static-Bundle</t>
        </is>
      </c>
      <c r="F542" t="n">
        <v>297.14</v>
      </c>
      <c r="G542" s="20" t="n">
        <v>3708</v>
      </c>
      <c r="H542" s="21" t="n">
        <v>64</v>
      </c>
      <c r="I542" s="21" t="n">
        <v>1</v>
      </c>
      <c r="J542" s="21" t="n">
        <v>724.51</v>
      </c>
    </row>
    <row r="543">
      <c r="A543" s="19" t="n">
        <v>46285</v>
      </c>
      <c r="B543" t="inlineStr">
        <is>
          <t>Meta</t>
        </is>
      </c>
      <c r="C543" t="inlineStr">
        <is>
          <t>STATIC | Discount 20% | v1</t>
        </is>
      </c>
      <c r="D543" t="inlineStr">
        <is>
          <t>Retargeting | 7d IC</t>
        </is>
      </c>
      <c r="E543" t="inlineStr">
        <is>
          <t>Static-Discount</t>
        </is>
      </c>
      <c r="F543" t="n">
        <v>278.38</v>
      </c>
      <c r="G543" s="20" t="n">
        <v>3474</v>
      </c>
      <c r="H543" s="21" t="n">
        <v>60</v>
      </c>
      <c r="I543" s="21" t="n">
        <v>2</v>
      </c>
      <c r="J543" s="21" t="n">
        <v>1406.88</v>
      </c>
    </row>
    <row r="544">
      <c r="A544" s="19" t="n">
        <v>46285</v>
      </c>
      <c r="B544" t="inlineStr">
        <is>
          <t>Meta</t>
        </is>
      </c>
      <c r="C544" t="inlineStr">
        <is>
          <t>CAROUSEL | Best sellers</t>
        </is>
      </c>
      <c r="D544" t="inlineStr">
        <is>
          <t>Retargeting | 14d ATC</t>
        </is>
      </c>
      <c r="E544" t="inlineStr">
        <is>
          <t>Carousel-Bestsellers</t>
        </is>
      </c>
      <c r="F544" t="n">
        <v>179.67</v>
      </c>
      <c r="G544" s="20" t="n">
        <v>2242</v>
      </c>
      <c r="H544" s="21" t="n">
        <v>39</v>
      </c>
      <c r="I544" s="21" t="n">
        <v>2</v>
      </c>
      <c r="J544" s="21" t="n">
        <v>1310.68</v>
      </c>
    </row>
    <row r="545">
      <c r="A545" s="19" t="n">
        <v>46285</v>
      </c>
      <c r="B545" t="inlineStr">
        <is>
          <t>Meta</t>
        </is>
      </c>
      <c r="C545" t="inlineStr">
        <is>
          <t>VID | Founder story | v1</t>
        </is>
      </c>
      <c r="D545" t="inlineStr">
        <is>
          <t>Prospecting | Broad | EG</t>
        </is>
      </c>
      <c r="E545" t="inlineStr">
        <is>
          <t>UGC-Founder</t>
        </is>
      </c>
      <c r="F545" t="n">
        <v>156</v>
      </c>
      <c r="G545" s="20" t="n">
        <v>1947</v>
      </c>
      <c r="H545" s="21" t="n">
        <v>33</v>
      </c>
      <c r="I545" s="21" t="n">
        <v>0</v>
      </c>
      <c r="J545" s="21" t="n">
        <v>0</v>
      </c>
    </row>
    <row r="546">
      <c r="A546" s="19" t="n">
        <v>46286</v>
      </c>
      <c r="B546" t="inlineStr">
        <is>
          <t>Meta</t>
        </is>
      </c>
      <c r="C546" t="inlineStr">
        <is>
          <t>VID | Founder story | v4</t>
        </is>
      </c>
      <c r="D546" t="inlineStr">
        <is>
          <t>Prospecting | Broad | EG</t>
        </is>
      </c>
      <c r="E546" t="inlineStr">
        <is>
          <t>UGC-Founder</t>
        </is>
      </c>
      <c r="F546" t="n">
        <v>853.61</v>
      </c>
      <c r="G546" s="20" t="n">
        <v>11379</v>
      </c>
      <c r="H546" s="21" t="n">
        <v>163</v>
      </c>
      <c r="I546" s="21" t="n">
        <v>3</v>
      </c>
      <c r="J546" s="21" t="n">
        <v>1851.75</v>
      </c>
    </row>
    <row r="547">
      <c r="A547" s="19" t="n">
        <v>46286</v>
      </c>
      <c r="B547" t="inlineStr">
        <is>
          <t>Meta</t>
        </is>
      </c>
      <c r="C547" t="inlineStr">
        <is>
          <t>STATIC | Bundle offer | v2</t>
        </is>
      </c>
      <c r="D547" t="inlineStr">
        <is>
          <t>Prospecting | Broad | EG</t>
        </is>
      </c>
      <c r="E547" t="inlineStr">
        <is>
          <t>Static-Bundle</t>
        </is>
      </c>
      <c r="F547" t="n">
        <v>551.63</v>
      </c>
      <c r="G547" s="20" t="n">
        <v>7354</v>
      </c>
      <c r="H547" s="21" t="n">
        <v>105</v>
      </c>
      <c r="I547" s="21" t="n">
        <v>2</v>
      </c>
      <c r="J547" s="21" t="n">
        <v>1407.83</v>
      </c>
    </row>
    <row r="548">
      <c r="A548" s="19" t="n">
        <v>46286</v>
      </c>
      <c r="B548" t="inlineStr">
        <is>
          <t>Meta</t>
        </is>
      </c>
      <c r="C548" t="inlineStr">
        <is>
          <t>VID | Founder story | v3</t>
        </is>
      </c>
      <c r="D548" t="inlineStr">
        <is>
          <t>Prospecting | Broad | EG</t>
        </is>
      </c>
      <c r="E548" t="inlineStr">
        <is>
          <t>UGC-Founder</t>
        </is>
      </c>
      <c r="F548" t="n">
        <v>406.3</v>
      </c>
      <c r="G548" s="20" t="n">
        <v>5416</v>
      </c>
      <c r="H548" s="21" t="n">
        <v>78</v>
      </c>
      <c r="I548" s="21" t="n">
        <v>1</v>
      </c>
      <c r="J548" s="21" t="n">
        <v>692.61</v>
      </c>
    </row>
    <row r="549">
      <c r="A549" s="19" t="n">
        <v>46286</v>
      </c>
      <c r="B549" t="inlineStr">
        <is>
          <t>Meta</t>
        </is>
      </c>
      <c r="C549" t="inlineStr">
        <is>
          <t>VID | Review compilation | v1</t>
        </is>
      </c>
      <c r="D549" t="inlineStr">
        <is>
          <t>Prospecting | Interest | EG</t>
        </is>
      </c>
      <c r="E549" t="inlineStr">
        <is>
          <t>UGC-Reviews</t>
        </is>
      </c>
      <c r="F549" t="n">
        <v>481.54</v>
      </c>
      <c r="G549" s="20" t="n">
        <v>6419</v>
      </c>
      <c r="H549" s="21" t="n">
        <v>92</v>
      </c>
      <c r="I549" s="21" t="n">
        <v>2</v>
      </c>
      <c r="J549" s="21" t="n">
        <v>1327.22</v>
      </c>
    </row>
    <row r="550">
      <c r="A550" s="19" t="n">
        <v>46286</v>
      </c>
      <c r="B550" t="inlineStr">
        <is>
          <t>Meta</t>
        </is>
      </c>
      <c r="C550" t="inlineStr">
        <is>
          <t>STATIC | Bundle offer | v1</t>
        </is>
      </c>
      <c r="D550" t="inlineStr">
        <is>
          <t>Test | Broad | EG</t>
        </is>
      </c>
      <c r="E550" t="inlineStr">
        <is>
          <t>Static-Bundle</t>
        </is>
      </c>
      <c r="F550" t="n">
        <v>342.58</v>
      </c>
      <c r="G550" s="20" t="n">
        <v>4567</v>
      </c>
      <c r="H550" s="21" t="n">
        <v>65</v>
      </c>
      <c r="I550" s="21" t="n">
        <v>1</v>
      </c>
      <c r="J550" s="21" t="n">
        <v>704.01</v>
      </c>
    </row>
    <row r="551">
      <c r="A551" s="19" t="n">
        <v>46286</v>
      </c>
      <c r="B551" t="inlineStr">
        <is>
          <t>Meta</t>
        </is>
      </c>
      <c r="C551" t="inlineStr">
        <is>
          <t>STATIC | Discount 20% | v1</t>
        </is>
      </c>
      <c r="D551" t="inlineStr">
        <is>
          <t>Retargeting | 7d IC</t>
        </is>
      </c>
      <c r="E551" t="inlineStr">
        <is>
          <t>Static-Discount</t>
        </is>
      </c>
      <c r="F551" t="n">
        <v>278.62</v>
      </c>
      <c r="G551" s="20" t="n">
        <v>3714</v>
      </c>
      <c r="H551" s="21" t="n">
        <v>53</v>
      </c>
      <c r="I551" s="21" t="n">
        <v>2</v>
      </c>
      <c r="J551" s="21" t="n">
        <v>1352.78</v>
      </c>
    </row>
    <row r="552">
      <c r="A552" s="19" t="n">
        <v>46286</v>
      </c>
      <c r="B552" t="inlineStr">
        <is>
          <t>Meta</t>
        </is>
      </c>
      <c r="C552" t="inlineStr">
        <is>
          <t>CAROUSEL | Best sellers</t>
        </is>
      </c>
      <c r="D552" t="inlineStr">
        <is>
          <t>Retargeting | 14d ATC</t>
        </is>
      </c>
      <c r="E552" t="inlineStr">
        <is>
          <t>Carousel-Bestsellers</t>
        </is>
      </c>
      <c r="F552" t="n">
        <v>174.52</v>
      </c>
      <c r="G552" s="20" t="n">
        <v>2327</v>
      </c>
      <c r="H552" s="21" t="n">
        <v>33</v>
      </c>
      <c r="I552" s="21" t="n">
        <v>1</v>
      </c>
      <c r="J552" s="21" t="n">
        <v>743.9</v>
      </c>
    </row>
    <row r="553">
      <c r="A553" s="19" t="n">
        <v>46286</v>
      </c>
      <c r="B553" t="inlineStr">
        <is>
          <t>Meta</t>
        </is>
      </c>
      <c r="C553" t="inlineStr">
        <is>
          <t>VID | Founder story | v1</t>
        </is>
      </c>
      <c r="D553" t="inlineStr">
        <is>
          <t>Prospecting | Broad | EG</t>
        </is>
      </c>
      <c r="E553" t="inlineStr">
        <is>
          <t>UGC-Founder</t>
        </is>
      </c>
      <c r="F553" t="n">
        <v>133.67</v>
      </c>
      <c r="G553" s="20" t="n">
        <v>1782</v>
      </c>
      <c r="H553" s="21" t="n">
        <v>26</v>
      </c>
      <c r="I553" s="21" t="n">
        <v>0</v>
      </c>
      <c r="J553" s="21" t="n">
        <v>0</v>
      </c>
    </row>
    <row r="554">
      <c r="A554" s="19" t="n">
        <v>46287</v>
      </c>
      <c r="B554" t="inlineStr">
        <is>
          <t>Meta</t>
        </is>
      </c>
      <c r="C554" t="inlineStr">
        <is>
          <t>VID | Founder story | v4</t>
        </is>
      </c>
      <c r="D554" t="inlineStr">
        <is>
          <t>Prospecting | Broad | EG</t>
        </is>
      </c>
      <c r="E554" t="inlineStr">
        <is>
          <t>UGC-Founder</t>
        </is>
      </c>
      <c r="F554" t="n">
        <v>807.55</v>
      </c>
      <c r="G554" s="20" t="n">
        <v>10246</v>
      </c>
      <c r="H554" s="21" t="n">
        <v>184</v>
      </c>
      <c r="I554" s="21" t="n">
        <v>3</v>
      </c>
      <c r="J554" s="21" t="n">
        <v>1910.78</v>
      </c>
    </row>
    <row r="555">
      <c r="A555" s="19" t="n">
        <v>46287</v>
      </c>
      <c r="B555" t="inlineStr">
        <is>
          <t>Meta</t>
        </is>
      </c>
      <c r="C555" t="inlineStr">
        <is>
          <t>STATIC | Bundle offer | v2</t>
        </is>
      </c>
      <c r="D555" t="inlineStr">
        <is>
          <t>Prospecting | Broad | EG</t>
        </is>
      </c>
      <c r="E555" t="inlineStr">
        <is>
          <t>Static-Bundle</t>
        </is>
      </c>
      <c r="F555" t="n">
        <v>652.79</v>
      </c>
      <c r="G555" s="20" t="n">
        <v>8282</v>
      </c>
      <c r="H555" s="21" t="n">
        <v>149</v>
      </c>
      <c r="I555" s="21" t="n">
        <v>2</v>
      </c>
      <c r="J555" s="21" t="n">
        <v>1425.89</v>
      </c>
    </row>
    <row r="556">
      <c r="A556" s="19" t="n">
        <v>46287</v>
      </c>
      <c r="B556" t="inlineStr">
        <is>
          <t>Meta</t>
        </is>
      </c>
      <c r="C556" t="inlineStr">
        <is>
          <t>VID | Founder story | v3</t>
        </is>
      </c>
      <c r="D556" t="inlineStr">
        <is>
          <t>Prospecting | Broad | EG</t>
        </is>
      </c>
      <c r="E556" t="inlineStr">
        <is>
          <t>UGC-Founder</t>
        </is>
      </c>
      <c r="F556" t="n">
        <v>376.98</v>
      </c>
      <c r="G556" s="20" t="n">
        <v>4783</v>
      </c>
      <c r="H556" s="21" t="n">
        <v>86</v>
      </c>
      <c r="I556" s="21" t="n">
        <v>1</v>
      </c>
      <c r="J556" s="21" t="n">
        <v>768</v>
      </c>
    </row>
    <row r="557">
      <c r="A557" s="19" t="n">
        <v>46287</v>
      </c>
      <c r="B557" t="inlineStr">
        <is>
          <t>Meta</t>
        </is>
      </c>
      <c r="C557" t="inlineStr">
        <is>
          <t>VID | Review compilation | v1</t>
        </is>
      </c>
      <c r="D557" t="inlineStr">
        <is>
          <t>Prospecting | Interest | EG</t>
        </is>
      </c>
      <c r="E557" t="inlineStr">
        <is>
          <t>UGC-Reviews</t>
        </is>
      </c>
      <c r="F557" t="n">
        <v>440.86</v>
      </c>
      <c r="G557" s="20" t="n">
        <v>5593</v>
      </c>
      <c r="H557" s="21" t="n">
        <v>101</v>
      </c>
      <c r="I557" s="21" t="n">
        <v>1</v>
      </c>
      <c r="J557" s="21" t="n">
        <v>655.26</v>
      </c>
    </row>
    <row r="558">
      <c r="A558" s="19" t="n">
        <v>46287</v>
      </c>
      <c r="B558" t="inlineStr">
        <is>
          <t>Meta</t>
        </is>
      </c>
      <c r="C558" t="inlineStr">
        <is>
          <t>STATIC | Bundle offer | v1</t>
        </is>
      </c>
      <c r="D558" t="inlineStr">
        <is>
          <t>Test | Broad | EG</t>
        </is>
      </c>
      <c r="E558" t="inlineStr">
        <is>
          <t>Static-Bundle</t>
        </is>
      </c>
      <c r="F558" t="n">
        <v>282.94</v>
      </c>
      <c r="G558" s="20" t="n">
        <v>3590</v>
      </c>
      <c r="H558" s="21" t="n">
        <v>65</v>
      </c>
      <c r="I558" s="21" t="n">
        <v>1</v>
      </c>
      <c r="J558" s="21" t="n">
        <v>663.35</v>
      </c>
    </row>
    <row r="559">
      <c r="A559" s="19" t="n">
        <v>46287</v>
      </c>
      <c r="B559" t="inlineStr">
        <is>
          <t>Meta</t>
        </is>
      </c>
      <c r="C559" t="inlineStr">
        <is>
          <t>STATIC | Discount 20% | v1</t>
        </is>
      </c>
      <c r="D559" t="inlineStr">
        <is>
          <t>Retargeting | 7d IC</t>
        </is>
      </c>
      <c r="E559" t="inlineStr">
        <is>
          <t>Static-Discount</t>
        </is>
      </c>
      <c r="F559" t="n">
        <v>223.53</v>
      </c>
      <c r="G559" s="20" t="n">
        <v>2836</v>
      </c>
      <c r="H559" s="21" t="n">
        <v>51</v>
      </c>
      <c r="I559" s="21" t="n">
        <v>1</v>
      </c>
      <c r="J559" s="21" t="n">
        <v>721.01</v>
      </c>
    </row>
    <row r="560">
      <c r="A560" s="19" t="n">
        <v>46287</v>
      </c>
      <c r="B560" t="inlineStr">
        <is>
          <t>Meta</t>
        </is>
      </c>
      <c r="C560" t="inlineStr">
        <is>
          <t>CAROUSEL | Best sellers</t>
        </is>
      </c>
      <c r="D560" t="inlineStr">
        <is>
          <t>Retargeting | 14d ATC</t>
        </is>
      </c>
      <c r="E560" t="inlineStr">
        <is>
          <t>Carousel-Bestsellers</t>
        </is>
      </c>
      <c r="F560" t="n">
        <v>147.34</v>
      </c>
      <c r="G560" s="20" t="n">
        <v>1869</v>
      </c>
      <c r="H560" s="21" t="n">
        <v>34</v>
      </c>
      <c r="I560" s="21" t="n">
        <v>1</v>
      </c>
      <c r="J560" s="21" t="n">
        <v>706.74</v>
      </c>
    </row>
    <row r="561">
      <c r="A561" s="19" t="n">
        <v>46287</v>
      </c>
      <c r="B561" t="inlineStr">
        <is>
          <t>Meta</t>
        </is>
      </c>
      <c r="C561" t="inlineStr">
        <is>
          <t>VID | Founder story | v1</t>
        </is>
      </c>
      <c r="D561" t="inlineStr">
        <is>
          <t>Prospecting | Broad | EG</t>
        </is>
      </c>
      <c r="E561" t="inlineStr">
        <is>
          <t>UGC-Founder</t>
        </is>
      </c>
      <c r="F561" t="n">
        <v>147.24</v>
      </c>
      <c r="G561" s="20" t="n">
        <v>1868</v>
      </c>
      <c r="H561" s="21" t="n">
        <v>34</v>
      </c>
      <c r="I561" s="21" t="n">
        <v>0</v>
      </c>
      <c r="J561" s="21" t="n">
        <v>0</v>
      </c>
    </row>
    <row r="562">
      <c r="A562" s="19" t="n">
        <v>46288</v>
      </c>
      <c r="B562" t="inlineStr">
        <is>
          <t>Meta</t>
        </is>
      </c>
      <c r="C562" t="inlineStr">
        <is>
          <t>VID | Founder story | v4</t>
        </is>
      </c>
      <c r="D562" t="inlineStr">
        <is>
          <t>Prospecting | Broad | EG</t>
        </is>
      </c>
      <c r="E562" t="inlineStr">
        <is>
          <t>UGC-Founder</t>
        </is>
      </c>
      <c r="F562" t="n">
        <v>949.85</v>
      </c>
      <c r="G562" s="20" t="n">
        <v>11960</v>
      </c>
      <c r="H562" s="21" t="n">
        <v>205</v>
      </c>
      <c r="I562" s="21" t="n">
        <v>4</v>
      </c>
      <c r="J562" s="21" t="n">
        <v>2606.97</v>
      </c>
    </row>
    <row r="563">
      <c r="A563" s="19" t="n">
        <v>46288</v>
      </c>
      <c r="B563" t="inlineStr">
        <is>
          <t>Meta</t>
        </is>
      </c>
      <c r="C563" t="inlineStr">
        <is>
          <t>STATIC | Bundle offer | v2</t>
        </is>
      </c>
      <c r="D563" t="inlineStr">
        <is>
          <t>Prospecting | Broad | EG</t>
        </is>
      </c>
      <c r="E563" t="inlineStr">
        <is>
          <t>Static-Bundle</t>
        </is>
      </c>
      <c r="F563" t="n">
        <v>522.3200000000001</v>
      </c>
      <c r="G563" s="20" t="n">
        <v>6577</v>
      </c>
      <c r="H563" s="21" t="n">
        <v>113</v>
      </c>
      <c r="I563" s="21" t="n">
        <v>2</v>
      </c>
      <c r="J563" s="21" t="n">
        <v>1545.9</v>
      </c>
    </row>
    <row r="564">
      <c r="A564" s="19" t="n">
        <v>46288</v>
      </c>
      <c r="B564" t="inlineStr">
        <is>
          <t>Meta</t>
        </is>
      </c>
      <c r="C564" t="inlineStr">
        <is>
          <t>VID | Founder story | v3</t>
        </is>
      </c>
      <c r="D564" t="inlineStr">
        <is>
          <t>Prospecting | Broad | EG</t>
        </is>
      </c>
      <c r="E564" t="inlineStr">
        <is>
          <t>UGC-Founder</t>
        </is>
      </c>
      <c r="F564" t="n">
        <v>409.29</v>
      </c>
      <c r="G564" s="20" t="n">
        <v>5153</v>
      </c>
      <c r="H564" s="21" t="n">
        <v>88</v>
      </c>
      <c r="I564" s="21" t="n">
        <v>1</v>
      </c>
      <c r="J564" s="21" t="n">
        <v>758.6</v>
      </c>
    </row>
    <row r="565">
      <c r="A565" s="19" t="n">
        <v>46288</v>
      </c>
      <c r="B565" t="inlineStr">
        <is>
          <t>Meta</t>
        </is>
      </c>
      <c r="C565" t="inlineStr">
        <is>
          <t>VID | Review compilation | v1</t>
        </is>
      </c>
      <c r="D565" t="inlineStr">
        <is>
          <t>Prospecting | Interest | EG</t>
        </is>
      </c>
      <c r="E565" t="inlineStr">
        <is>
          <t>UGC-Reviews</t>
        </is>
      </c>
      <c r="F565" t="n">
        <v>408.1</v>
      </c>
      <c r="G565" s="20" t="n">
        <v>5138</v>
      </c>
      <c r="H565" s="21" t="n">
        <v>88</v>
      </c>
      <c r="I565" s="21" t="n">
        <v>2</v>
      </c>
      <c r="J565" s="21" t="n">
        <v>1436.23</v>
      </c>
    </row>
    <row r="566">
      <c r="A566" s="19" t="n">
        <v>46288</v>
      </c>
      <c r="B566" t="inlineStr">
        <is>
          <t>Meta</t>
        </is>
      </c>
      <c r="C566" t="inlineStr">
        <is>
          <t>STATIC | Bundle offer | v1</t>
        </is>
      </c>
      <c r="D566" t="inlineStr">
        <is>
          <t>Test | Broad | EG</t>
        </is>
      </c>
      <c r="E566" t="inlineStr">
        <is>
          <t>Static-Bundle</t>
        </is>
      </c>
      <c r="F566" t="n">
        <v>250.21</v>
      </c>
      <c r="G566" s="20" t="n">
        <v>3150</v>
      </c>
      <c r="H566" s="21" t="n">
        <v>54</v>
      </c>
      <c r="I566" s="21" t="n">
        <v>1</v>
      </c>
      <c r="J566" s="21" t="n">
        <v>758.1</v>
      </c>
    </row>
    <row r="567">
      <c r="A567" s="19" t="n">
        <v>46288</v>
      </c>
      <c r="B567" t="inlineStr">
        <is>
          <t>Meta</t>
        </is>
      </c>
      <c r="C567" t="inlineStr">
        <is>
          <t>STATIC | Discount 20% | v1</t>
        </is>
      </c>
      <c r="D567" t="inlineStr">
        <is>
          <t>Retargeting | 7d IC</t>
        </is>
      </c>
      <c r="E567" t="inlineStr">
        <is>
          <t>Static-Discount</t>
        </is>
      </c>
      <c r="F567" t="n">
        <v>269.34</v>
      </c>
      <c r="G567" s="20" t="n">
        <v>3391</v>
      </c>
      <c r="H567" s="21" t="n">
        <v>58</v>
      </c>
      <c r="I567" s="21" t="n">
        <v>2</v>
      </c>
      <c r="J567" s="21" t="n">
        <v>1432.53</v>
      </c>
    </row>
    <row r="568">
      <c r="A568" s="19" t="n">
        <v>46288</v>
      </c>
      <c r="B568" t="inlineStr">
        <is>
          <t>Meta</t>
        </is>
      </c>
      <c r="C568" t="inlineStr">
        <is>
          <t>CAROUSEL | Best sellers</t>
        </is>
      </c>
      <c r="D568" t="inlineStr">
        <is>
          <t>Retargeting | 14d ATC</t>
        </is>
      </c>
      <c r="E568" t="inlineStr">
        <is>
          <t>Carousel-Bestsellers</t>
        </is>
      </c>
      <c r="F568" t="n">
        <v>183.15</v>
      </c>
      <c r="G568" s="20" t="n">
        <v>2306</v>
      </c>
      <c r="H568" s="21" t="n">
        <v>40</v>
      </c>
      <c r="I568" s="21" t="n">
        <v>1</v>
      </c>
      <c r="J568" s="21" t="n">
        <v>683.5</v>
      </c>
    </row>
    <row r="569">
      <c r="A569" s="19" t="n">
        <v>46288</v>
      </c>
      <c r="B569" t="inlineStr">
        <is>
          <t>Meta</t>
        </is>
      </c>
      <c r="C569" t="inlineStr">
        <is>
          <t>VID | Founder story | v1</t>
        </is>
      </c>
      <c r="D569" t="inlineStr">
        <is>
          <t>Prospecting | Broad | EG</t>
        </is>
      </c>
      <c r="E569" t="inlineStr">
        <is>
          <t>UGC-Founder</t>
        </is>
      </c>
      <c r="F569" t="n">
        <v>143.78</v>
      </c>
      <c r="G569" s="20" t="n">
        <v>1810</v>
      </c>
      <c r="H569" s="21" t="n">
        <v>31</v>
      </c>
      <c r="I569" s="21" t="n">
        <v>0</v>
      </c>
      <c r="J569" s="21" t="n">
        <v>0</v>
      </c>
    </row>
    <row r="570">
      <c r="A570" s="19" t="n">
        <v>46289</v>
      </c>
      <c r="B570" t="inlineStr">
        <is>
          <t>Meta</t>
        </is>
      </c>
      <c r="C570" t="inlineStr">
        <is>
          <t>VID | Founder story | v4</t>
        </is>
      </c>
      <c r="D570" t="inlineStr">
        <is>
          <t>Prospecting | Broad | EG</t>
        </is>
      </c>
      <c r="E570" t="inlineStr">
        <is>
          <t>UGC-Founder</t>
        </is>
      </c>
      <c r="F570" t="n">
        <v>816.8099999999999</v>
      </c>
      <c r="G570" s="20" t="n">
        <v>10692</v>
      </c>
      <c r="H570" s="21" t="n">
        <v>157</v>
      </c>
      <c r="I570" s="21" t="n">
        <v>3</v>
      </c>
      <c r="J570" s="21" t="n">
        <v>2248.67</v>
      </c>
    </row>
    <row r="571">
      <c r="A571" s="19" t="n">
        <v>46289</v>
      </c>
      <c r="B571" t="inlineStr">
        <is>
          <t>Meta</t>
        </is>
      </c>
      <c r="C571" t="inlineStr">
        <is>
          <t>STATIC | Bundle offer | v2</t>
        </is>
      </c>
      <c r="D571" t="inlineStr">
        <is>
          <t>Prospecting | Broad | EG</t>
        </is>
      </c>
      <c r="E571" t="inlineStr">
        <is>
          <t>Static-Bundle</t>
        </is>
      </c>
      <c r="F571" t="n">
        <v>510.17</v>
      </c>
      <c r="G571" s="20" t="n">
        <v>6678</v>
      </c>
      <c r="H571" s="21" t="n">
        <v>98</v>
      </c>
      <c r="I571" s="21" t="n">
        <v>2</v>
      </c>
      <c r="J571" s="21" t="n">
        <v>1464.19</v>
      </c>
    </row>
    <row r="572">
      <c r="A572" s="19" t="n">
        <v>46289</v>
      </c>
      <c r="B572" t="inlineStr">
        <is>
          <t>Meta</t>
        </is>
      </c>
      <c r="C572" t="inlineStr">
        <is>
          <t>VID | Founder story | v3</t>
        </is>
      </c>
      <c r="D572" t="inlineStr">
        <is>
          <t>Prospecting | Broad | EG</t>
        </is>
      </c>
      <c r="E572" t="inlineStr">
        <is>
          <t>UGC-Founder</t>
        </is>
      </c>
      <c r="F572" t="n">
        <v>422.16</v>
      </c>
      <c r="G572" s="20" t="n">
        <v>5526</v>
      </c>
      <c r="H572" s="21" t="n">
        <v>81</v>
      </c>
      <c r="I572" s="21" t="n">
        <v>1</v>
      </c>
      <c r="J572" s="21" t="n">
        <v>784.36</v>
      </c>
    </row>
    <row r="573">
      <c r="A573" s="19" t="n">
        <v>46289</v>
      </c>
      <c r="B573" t="inlineStr">
        <is>
          <t>Meta</t>
        </is>
      </c>
      <c r="C573" t="inlineStr">
        <is>
          <t>VID | Review compilation | v1</t>
        </is>
      </c>
      <c r="D573" t="inlineStr">
        <is>
          <t>Prospecting | Interest | EG</t>
        </is>
      </c>
      <c r="E573" t="inlineStr">
        <is>
          <t>UGC-Reviews</t>
        </is>
      </c>
      <c r="F573" t="n">
        <v>477.33</v>
      </c>
      <c r="G573" s="20" t="n">
        <v>6248</v>
      </c>
      <c r="H573" s="21" t="n">
        <v>92</v>
      </c>
      <c r="I573" s="21" t="n">
        <v>1</v>
      </c>
      <c r="J573" s="21" t="n">
        <v>745.03</v>
      </c>
    </row>
    <row r="574">
      <c r="A574" s="19" t="n">
        <v>46289</v>
      </c>
      <c r="B574" t="inlineStr">
        <is>
          <t>Meta</t>
        </is>
      </c>
      <c r="C574" t="inlineStr">
        <is>
          <t>STATIC | Bundle offer | v1</t>
        </is>
      </c>
      <c r="D574" t="inlineStr">
        <is>
          <t>Test | Broad | EG</t>
        </is>
      </c>
      <c r="E574" t="inlineStr">
        <is>
          <t>Static-Bundle</t>
        </is>
      </c>
      <c r="F574" t="n">
        <v>313.38</v>
      </c>
      <c r="G574" s="20" t="n">
        <v>4102</v>
      </c>
      <c r="H574" s="21" t="n">
        <v>60</v>
      </c>
      <c r="I574" s="21" t="n">
        <v>1</v>
      </c>
      <c r="J574" s="21" t="n">
        <v>706.77</v>
      </c>
    </row>
    <row r="575">
      <c r="A575" s="19" t="n">
        <v>46289</v>
      </c>
      <c r="B575" t="inlineStr">
        <is>
          <t>Meta</t>
        </is>
      </c>
      <c r="C575" t="inlineStr">
        <is>
          <t>STATIC | Discount 20% | v1</t>
        </is>
      </c>
      <c r="D575" t="inlineStr">
        <is>
          <t>Retargeting | 7d IC</t>
        </is>
      </c>
      <c r="E575" t="inlineStr">
        <is>
          <t>Static-Discount</t>
        </is>
      </c>
      <c r="F575" t="n">
        <v>272.26</v>
      </c>
      <c r="G575" s="20" t="n">
        <v>3564</v>
      </c>
      <c r="H575" s="21" t="n">
        <v>52</v>
      </c>
      <c r="I575" s="21" t="n">
        <v>2</v>
      </c>
      <c r="J575" s="21" t="n">
        <v>1525.28</v>
      </c>
    </row>
    <row r="576">
      <c r="A576" s="19" t="n">
        <v>46289</v>
      </c>
      <c r="B576" t="inlineStr">
        <is>
          <t>Meta</t>
        </is>
      </c>
      <c r="C576" t="inlineStr">
        <is>
          <t>CAROUSEL | Best sellers</t>
        </is>
      </c>
      <c r="D576" t="inlineStr">
        <is>
          <t>Retargeting | 14d ATC</t>
        </is>
      </c>
      <c r="E576" t="inlineStr">
        <is>
          <t>Carousel-Bestsellers</t>
        </is>
      </c>
      <c r="F576" t="n">
        <v>183.66</v>
      </c>
      <c r="G576" s="20" t="n">
        <v>2404</v>
      </c>
      <c r="H576" s="21" t="n">
        <v>35</v>
      </c>
      <c r="I576" s="21" t="n">
        <v>1</v>
      </c>
      <c r="J576" s="21" t="n">
        <v>810.5700000000001</v>
      </c>
    </row>
    <row r="577">
      <c r="A577" s="19" t="n">
        <v>46289</v>
      </c>
      <c r="B577" t="inlineStr">
        <is>
          <t>Meta</t>
        </is>
      </c>
      <c r="C577" t="inlineStr">
        <is>
          <t>VID | Founder story | v1</t>
        </is>
      </c>
      <c r="D577" t="inlineStr">
        <is>
          <t>Prospecting | Broad | EG</t>
        </is>
      </c>
      <c r="E577" t="inlineStr">
        <is>
          <t>UGC-Founder</t>
        </is>
      </c>
      <c r="F577" t="n">
        <v>128.46</v>
      </c>
      <c r="G577" s="20" t="n">
        <v>1682</v>
      </c>
      <c r="H577" s="21" t="n">
        <v>25</v>
      </c>
      <c r="I577" s="21" t="n">
        <v>0</v>
      </c>
      <c r="J577" s="21" t="n">
        <v>0</v>
      </c>
    </row>
    <row r="578">
      <c r="A578" s="19" t="n">
        <v>46290</v>
      </c>
      <c r="B578" t="inlineStr">
        <is>
          <t>Meta</t>
        </is>
      </c>
      <c r="C578" t="inlineStr">
        <is>
          <t>VID | Founder story | v4</t>
        </is>
      </c>
      <c r="D578" t="inlineStr">
        <is>
          <t>Prospecting | Broad | EG</t>
        </is>
      </c>
      <c r="E578" t="inlineStr">
        <is>
          <t>UGC-Founder</t>
        </is>
      </c>
      <c r="F578" t="n">
        <v>1017.43</v>
      </c>
      <c r="G578" s="20" t="n">
        <v>12586</v>
      </c>
      <c r="H578" s="21" t="n">
        <v>214</v>
      </c>
      <c r="I578" s="21" t="n">
        <v>4</v>
      </c>
      <c r="J578" s="21" t="n">
        <v>2938.25</v>
      </c>
    </row>
    <row r="579">
      <c r="A579" s="19" t="n">
        <v>46290</v>
      </c>
      <c r="B579" t="inlineStr">
        <is>
          <t>Meta</t>
        </is>
      </c>
      <c r="C579" t="inlineStr">
        <is>
          <t>STATIC | Bundle offer | v2</t>
        </is>
      </c>
      <c r="D579" t="inlineStr">
        <is>
          <t>Prospecting | Broad | EG</t>
        </is>
      </c>
      <c r="E579" t="inlineStr">
        <is>
          <t>Static-Bundle</t>
        </is>
      </c>
      <c r="F579" t="n">
        <v>520.3200000000001</v>
      </c>
      <c r="G579" s="20" t="n">
        <v>6437</v>
      </c>
      <c r="H579" s="21" t="n">
        <v>109</v>
      </c>
      <c r="I579" s="21" t="n">
        <v>1</v>
      </c>
      <c r="J579" s="21" t="n">
        <v>659.25</v>
      </c>
    </row>
    <row r="580">
      <c r="A580" s="19" t="n">
        <v>46290</v>
      </c>
      <c r="B580" t="inlineStr">
        <is>
          <t>Meta</t>
        </is>
      </c>
      <c r="C580" t="inlineStr">
        <is>
          <t>VID | Founder story | v3</t>
        </is>
      </c>
      <c r="D580" t="inlineStr">
        <is>
          <t>Prospecting | Broad | EG</t>
        </is>
      </c>
      <c r="E580" t="inlineStr">
        <is>
          <t>UGC-Founder</t>
        </is>
      </c>
      <c r="F580" t="n">
        <v>423.82</v>
      </c>
      <c r="G580" s="20" t="n">
        <v>5243</v>
      </c>
      <c r="H580" s="21" t="n">
        <v>89</v>
      </c>
      <c r="I580" s="21" t="n">
        <v>1</v>
      </c>
      <c r="J580" s="21" t="n">
        <v>647.05</v>
      </c>
    </row>
    <row r="581">
      <c r="A581" s="19" t="n">
        <v>46290</v>
      </c>
      <c r="B581" t="inlineStr">
        <is>
          <t>Meta</t>
        </is>
      </c>
      <c r="C581" t="inlineStr">
        <is>
          <t>VID | Review compilation | v1</t>
        </is>
      </c>
      <c r="D581" t="inlineStr">
        <is>
          <t>Prospecting | Interest | EG</t>
        </is>
      </c>
      <c r="E581" t="inlineStr">
        <is>
          <t>UGC-Reviews</t>
        </is>
      </c>
      <c r="F581" t="n">
        <v>420.5</v>
      </c>
      <c r="G581" s="20" t="n">
        <v>5202</v>
      </c>
      <c r="H581" s="21" t="n">
        <v>88</v>
      </c>
      <c r="I581" s="21" t="n">
        <v>1</v>
      </c>
      <c r="J581" s="21" t="n">
        <v>738.3</v>
      </c>
    </row>
    <row r="582">
      <c r="A582" s="19" t="n">
        <v>46290</v>
      </c>
      <c r="B582" t="inlineStr">
        <is>
          <t>Meta</t>
        </is>
      </c>
      <c r="C582" t="inlineStr">
        <is>
          <t>STATIC | Bundle offer | v1</t>
        </is>
      </c>
      <c r="D582" t="inlineStr">
        <is>
          <t>Test | Broad | EG</t>
        </is>
      </c>
      <c r="E582" t="inlineStr">
        <is>
          <t>Static-Bundle</t>
        </is>
      </c>
      <c r="F582" t="n">
        <v>326.71</v>
      </c>
      <c r="G582" s="20" t="n">
        <v>4042</v>
      </c>
      <c r="H582" s="21" t="n">
        <v>69</v>
      </c>
      <c r="I582" s="21" t="n">
        <v>1</v>
      </c>
      <c r="J582" s="21" t="n">
        <v>700.5</v>
      </c>
    </row>
    <row r="583">
      <c r="A583" s="19" t="n">
        <v>46290</v>
      </c>
      <c r="B583" t="inlineStr">
        <is>
          <t>Meta</t>
        </is>
      </c>
      <c r="C583" t="inlineStr">
        <is>
          <t>STATIC | Discount 20% | v1</t>
        </is>
      </c>
      <c r="D583" t="inlineStr">
        <is>
          <t>Retargeting | 7d IC</t>
        </is>
      </c>
      <c r="E583" t="inlineStr">
        <is>
          <t>Static-Discount</t>
        </is>
      </c>
      <c r="F583" t="n">
        <v>287.54</v>
      </c>
      <c r="G583" s="20" t="n">
        <v>3557</v>
      </c>
      <c r="H583" s="21" t="n">
        <v>61</v>
      </c>
      <c r="I583" s="21" t="n">
        <v>2</v>
      </c>
      <c r="J583" s="21" t="n">
        <v>1417.98</v>
      </c>
    </row>
    <row r="584">
      <c r="A584" s="19" t="n">
        <v>46290</v>
      </c>
      <c r="B584" t="inlineStr">
        <is>
          <t>Meta</t>
        </is>
      </c>
      <c r="C584" t="inlineStr">
        <is>
          <t>CAROUSEL | Best sellers</t>
        </is>
      </c>
      <c r="D584" t="inlineStr">
        <is>
          <t>Retargeting | 14d ATC</t>
        </is>
      </c>
      <c r="E584" t="inlineStr">
        <is>
          <t>Carousel-Bestsellers</t>
        </is>
      </c>
      <c r="F584" t="n">
        <v>190.7</v>
      </c>
      <c r="G584" s="20" t="n">
        <v>2359</v>
      </c>
      <c r="H584" s="21" t="n">
        <v>40</v>
      </c>
      <c r="I584" s="21" t="n">
        <v>1</v>
      </c>
      <c r="J584" s="21" t="n">
        <v>705.22</v>
      </c>
    </row>
    <row r="585">
      <c r="A585" s="19" t="n">
        <v>46290</v>
      </c>
      <c r="B585" t="inlineStr">
        <is>
          <t>Meta</t>
        </is>
      </c>
      <c r="C585" t="inlineStr">
        <is>
          <t>VID | Founder story | v1</t>
        </is>
      </c>
      <c r="D585" t="inlineStr">
        <is>
          <t>Prospecting | Broad | EG</t>
        </is>
      </c>
      <c r="E585" t="inlineStr">
        <is>
          <t>UGC-Founder</t>
        </is>
      </c>
      <c r="F585" t="n">
        <v>134.69</v>
      </c>
      <c r="G585" s="20" t="n">
        <v>1666</v>
      </c>
      <c r="H585" s="21" t="n">
        <v>28</v>
      </c>
      <c r="I585" s="21" t="n">
        <v>0</v>
      </c>
      <c r="J585" s="21" t="n">
        <v>0</v>
      </c>
    </row>
    <row r="586">
      <c r="A586" s="19" t="n">
        <v>46291</v>
      </c>
      <c r="B586" t="inlineStr">
        <is>
          <t>Meta</t>
        </is>
      </c>
      <c r="C586" t="inlineStr">
        <is>
          <t>VID | Founder story | v4</t>
        </is>
      </c>
      <c r="D586" t="inlineStr">
        <is>
          <t>Prospecting | Broad | EG</t>
        </is>
      </c>
      <c r="E586" t="inlineStr">
        <is>
          <t>UGC-Founder</t>
        </is>
      </c>
      <c r="F586" t="n">
        <v>1024.6</v>
      </c>
      <c r="G586" s="20" t="n">
        <v>12807</v>
      </c>
      <c r="H586" s="21" t="n">
        <v>214</v>
      </c>
      <c r="I586" s="21" t="n">
        <v>5</v>
      </c>
      <c r="J586" s="21" t="n">
        <v>3215.86</v>
      </c>
    </row>
    <row r="587">
      <c r="A587" s="19" t="n">
        <v>46291</v>
      </c>
      <c r="B587" t="inlineStr">
        <is>
          <t>Meta</t>
        </is>
      </c>
      <c r="C587" t="inlineStr">
        <is>
          <t>STATIC | Bundle offer | v2</t>
        </is>
      </c>
      <c r="D587" t="inlineStr">
        <is>
          <t>Prospecting | Broad | EG</t>
        </is>
      </c>
      <c r="E587" t="inlineStr">
        <is>
          <t>Static-Bundle</t>
        </is>
      </c>
      <c r="F587" t="n">
        <v>759.63</v>
      </c>
      <c r="G587" s="20" t="n">
        <v>9495</v>
      </c>
      <c r="H587" s="21" t="n">
        <v>159</v>
      </c>
      <c r="I587" s="21" t="n">
        <v>3</v>
      </c>
      <c r="J587" s="21" t="n">
        <v>2097.68</v>
      </c>
    </row>
    <row r="588">
      <c r="A588" s="19" t="n">
        <v>46291</v>
      </c>
      <c r="B588" t="inlineStr">
        <is>
          <t>Meta</t>
        </is>
      </c>
      <c r="C588" t="inlineStr">
        <is>
          <t>VID | Founder story | v3</t>
        </is>
      </c>
      <c r="D588" t="inlineStr">
        <is>
          <t>Prospecting | Broad | EG</t>
        </is>
      </c>
      <c r="E588" t="inlineStr">
        <is>
          <t>UGC-Founder</t>
        </is>
      </c>
      <c r="F588" t="n">
        <v>547.6799999999999</v>
      </c>
      <c r="G588" s="20" t="n">
        <v>6846</v>
      </c>
      <c r="H588" s="21" t="n">
        <v>115</v>
      </c>
      <c r="I588" s="21" t="n">
        <v>2</v>
      </c>
      <c r="J588" s="21" t="n">
        <v>1249.72</v>
      </c>
    </row>
    <row r="589">
      <c r="A589" s="19" t="n">
        <v>46291</v>
      </c>
      <c r="B589" t="inlineStr">
        <is>
          <t>Meta</t>
        </is>
      </c>
      <c r="C589" t="inlineStr">
        <is>
          <t>VID | Review compilation | v1</t>
        </is>
      </c>
      <c r="D589" t="inlineStr">
        <is>
          <t>Prospecting | Interest | EG</t>
        </is>
      </c>
      <c r="E589" t="inlineStr">
        <is>
          <t>UGC-Reviews</t>
        </is>
      </c>
      <c r="F589" t="n">
        <v>572.49</v>
      </c>
      <c r="G589" s="20" t="n">
        <v>7156</v>
      </c>
      <c r="H589" s="21" t="n">
        <v>120</v>
      </c>
      <c r="I589" s="21" t="n">
        <v>3</v>
      </c>
      <c r="J589" s="21" t="n">
        <v>2215.68</v>
      </c>
    </row>
    <row r="590">
      <c r="A590" s="19" t="n">
        <v>46291</v>
      </c>
      <c r="B590" t="inlineStr">
        <is>
          <t>Meta</t>
        </is>
      </c>
      <c r="C590" t="inlineStr">
        <is>
          <t>STATIC | Bundle offer | v1</t>
        </is>
      </c>
      <c r="D590" t="inlineStr">
        <is>
          <t>Test | Broad | EG</t>
        </is>
      </c>
      <c r="E590" t="inlineStr">
        <is>
          <t>Static-Bundle</t>
        </is>
      </c>
      <c r="F590" t="n">
        <v>338.2</v>
      </c>
      <c r="G590" s="20" t="n">
        <v>4227</v>
      </c>
      <c r="H590" s="21" t="n">
        <v>71</v>
      </c>
      <c r="I590" s="21" t="n">
        <v>1</v>
      </c>
      <c r="J590" s="21" t="n">
        <v>633.98</v>
      </c>
    </row>
    <row r="591">
      <c r="A591" s="19" t="n">
        <v>46291</v>
      </c>
      <c r="B591" t="inlineStr">
        <is>
          <t>Meta</t>
        </is>
      </c>
      <c r="C591" t="inlineStr">
        <is>
          <t>STATIC | Discount 20% | v1</t>
        </is>
      </c>
      <c r="D591" t="inlineStr">
        <is>
          <t>Retargeting | 7d IC</t>
        </is>
      </c>
      <c r="E591" t="inlineStr">
        <is>
          <t>Static-Discount</t>
        </is>
      </c>
      <c r="F591" t="n">
        <v>306.6</v>
      </c>
      <c r="G591" s="20" t="n">
        <v>3832</v>
      </c>
      <c r="H591" s="21" t="n">
        <v>64</v>
      </c>
      <c r="I591" s="21" t="n">
        <v>2</v>
      </c>
      <c r="J591" s="21" t="n">
        <v>1235.82</v>
      </c>
    </row>
    <row r="592">
      <c r="A592" s="19" t="n">
        <v>46291</v>
      </c>
      <c r="B592" t="inlineStr">
        <is>
          <t>Meta</t>
        </is>
      </c>
      <c r="C592" t="inlineStr">
        <is>
          <t>CAROUSEL | Best sellers</t>
        </is>
      </c>
      <c r="D592" t="inlineStr">
        <is>
          <t>Retargeting | 14d ATC</t>
        </is>
      </c>
      <c r="E592" t="inlineStr">
        <is>
          <t>Carousel-Bestsellers</t>
        </is>
      </c>
      <c r="F592" t="n">
        <v>205.31</v>
      </c>
      <c r="G592" s="20" t="n">
        <v>2566</v>
      </c>
      <c r="H592" s="21" t="n">
        <v>43</v>
      </c>
      <c r="I592" s="21" t="n">
        <v>2</v>
      </c>
      <c r="J592" s="21" t="n">
        <v>1257.6</v>
      </c>
    </row>
    <row r="593">
      <c r="A593" s="19" t="n">
        <v>46291</v>
      </c>
      <c r="B593" t="inlineStr">
        <is>
          <t>Meta</t>
        </is>
      </c>
      <c r="C593" t="inlineStr">
        <is>
          <t>VID | Founder story | v1</t>
        </is>
      </c>
      <c r="D593" t="inlineStr">
        <is>
          <t>Prospecting | Broad | EG</t>
        </is>
      </c>
      <c r="E593" t="inlineStr">
        <is>
          <t>UGC-Founder</t>
        </is>
      </c>
      <c r="F593" t="n">
        <v>151.58</v>
      </c>
      <c r="G593" s="20" t="n">
        <v>1895</v>
      </c>
      <c r="H593" s="21" t="n">
        <v>32</v>
      </c>
      <c r="I593" s="21" t="n">
        <v>0</v>
      </c>
      <c r="J593" s="21" t="n">
        <v>0</v>
      </c>
    </row>
    <row r="594">
      <c r="A594" s="19" t="n">
        <v>46292</v>
      </c>
      <c r="B594" t="inlineStr">
        <is>
          <t>Meta</t>
        </is>
      </c>
      <c r="C594" t="inlineStr">
        <is>
          <t>VID | Founder story | v4</t>
        </is>
      </c>
      <c r="D594" t="inlineStr">
        <is>
          <t>Prospecting | Broad | EG</t>
        </is>
      </c>
      <c r="E594" t="inlineStr">
        <is>
          <t>UGC-Founder</t>
        </is>
      </c>
      <c r="F594" t="n">
        <v>946.97</v>
      </c>
      <c r="G594" s="20" t="n">
        <v>12105</v>
      </c>
      <c r="H594" s="21" t="n">
        <v>196</v>
      </c>
      <c r="I594" s="21" t="n">
        <v>3</v>
      </c>
      <c r="J594" s="21" t="n">
        <v>1892.96</v>
      </c>
    </row>
    <row r="595">
      <c r="A595" s="19" t="n">
        <v>46292</v>
      </c>
      <c r="B595" t="inlineStr">
        <is>
          <t>Meta</t>
        </is>
      </c>
      <c r="C595" t="inlineStr">
        <is>
          <t>STATIC | Bundle offer | v2</t>
        </is>
      </c>
      <c r="D595" t="inlineStr">
        <is>
          <t>Prospecting | Broad | EG</t>
        </is>
      </c>
      <c r="E595" t="inlineStr">
        <is>
          <t>Static-Bundle</t>
        </is>
      </c>
      <c r="F595" t="n">
        <v>590.98</v>
      </c>
      <c r="G595" s="20" t="n">
        <v>7555</v>
      </c>
      <c r="H595" s="21" t="n">
        <v>122</v>
      </c>
      <c r="I595" s="21" t="n">
        <v>2</v>
      </c>
      <c r="J595" s="21" t="n">
        <v>1407</v>
      </c>
    </row>
    <row r="596">
      <c r="A596" s="19" t="n">
        <v>46292</v>
      </c>
      <c r="B596" t="inlineStr">
        <is>
          <t>Meta</t>
        </is>
      </c>
      <c r="C596" t="inlineStr">
        <is>
          <t>VID | Founder story | v3</t>
        </is>
      </c>
      <c r="D596" t="inlineStr">
        <is>
          <t>Prospecting | Broad | EG</t>
        </is>
      </c>
      <c r="E596" t="inlineStr">
        <is>
          <t>UGC-Founder</t>
        </is>
      </c>
      <c r="F596" t="n">
        <v>426.39</v>
      </c>
      <c r="G596" s="20" t="n">
        <v>5451</v>
      </c>
      <c r="H596" s="21" t="n">
        <v>88</v>
      </c>
      <c r="I596" s="21" t="n">
        <v>1</v>
      </c>
      <c r="J596" s="21" t="n">
        <v>672.12</v>
      </c>
    </row>
    <row r="597">
      <c r="A597" s="19" t="n">
        <v>46292</v>
      </c>
      <c r="B597" t="inlineStr">
        <is>
          <t>Meta</t>
        </is>
      </c>
      <c r="C597" t="inlineStr">
        <is>
          <t>VID | Review compilation | v1</t>
        </is>
      </c>
      <c r="D597" t="inlineStr">
        <is>
          <t>Prospecting | Interest | EG</t>
        </is>
      </c>
      <c r="E597" t="inlineStr">
        <is>
          <t>UGC-Reviews</t>
        </is>
      </c>
      <c r="F597" t="n">
        <v>428.31</v>
      </c>
      <c r="G597" s="20" t="n">
        <v>5475</v>
      </c>
      <c r="H597" s="21" t="n">
        <v>88</v>
      </c>
      <c r="I597" s="21" t="n">
        <v>1</v>
      </c>
      <c r="J597" s="21" t="n">
        <v>734.88</v>
      </c>
    </row>
    <row r="598">
      <c r="A598" s="19" t="n">
        <v>46292</v>
      </c>
      <c r="B598" t="inlineStr">
        <is>
          <t>Meta</t>
        </is>
      </c>
      <c r="C598" t="inlineStr">
        <is>
          <t>STATIC | Bundle offer | v1</t>
        </is>
      </c>
      <c r="D598" t="inlineStr">
        <is>
          <t>Test | Broad | EG</t>
        </is>
      </c>
      <c r="E598" t="inlineStr">
        <is>
          <t>Static-Bundle</t>
        </is>
      </c>
      <c r="F598" t="n">
        <v>350.2</v>
      </c>
      <c r="G598" s="20" t="n">
        <v>4477</v>
      </c>
      <c r="H598" s="21" t="n">
        <v>72</v>
      </c>
      <c r="I598" s="21" t="n">
        <v>1</v>
      </c>
      <c r="J598" s="21" t="n">
        <v>735.16</v>
      </c>
    </row>
    <row r="599">
      <c r="A599" s="19" t="n">
        <v>46292</v>
      </c>
      <c r="B599" t="inlineStr">
        <is>
          <t>Meta</t>
        </is>
      </c>
      <c r="C599" t="inlineStr">
        <is>
          <t>STATIC | Discount 20% | v1</t>
        </is>
      </c>
      <c r="D599" t="inlineStr">
        <is>
          <t>Retargeting | 7d IC</t>
        </is>
      </c>
      <c r="E599" t="inlineStr">
        <is>
          <t>Static-Discount</t>
        </is>
      </c>
      <c r="F599" t="n">
        <v>286.97</v>
      </c>
      <c r="G599" s="20" t="n">
        <v>3668</v>
      </c>
      <c r="H599" s="21" t="n">
        <v>59</v>
      </c>
      <c r="I599" s="21" t="n">
        <v>2</v>
      </c>
      <c r="J599" s="21" t="n">
        <v>1490.14</v>
      </c>
    </row>
    <row r="600">
      <c r="A600" s="19" t="n">
        <v>46292</v>
      </c>
      <c r="B600" t="inlineStr">
        <is>
          <t>Meta</t>
        </is>
      </c>
      <c r="C600" t="inlineStr">
        <is>
          <t>CAROUSEL | Best sellers</t>
        </is>
      </c>
      <c r="D600" t="inlineStr">
        <is>
          <t>Retargeting | 14d ATC</t>
        </is>
      </c>
      <c r="E600" t="inlineStr">
        <is>
          <t>Carousel-Bestsellers</t>
        </is>
      </c>
      <c r="F600" t="n">
        <v>204.53</v>
      </c>
      <c r="G600" s="20" t="n">
        <v>2615</v>
      </c>
      <c r="H600" s="21" t="n">
        <v>42</v>
      </c>
      <c r="I600" s="21" t="n">
        <v>1</v>
      </c>
      <c r="J600" s="21" t="n">
        <v>631.01</v>
      </c>
    </row>
    <row r="601">
      <c r="A601" s="19" t="n">
        <v>46292</v>
      </c>
      <c r="B601" t="inlineStr">
        <is>
          <t>Meta</t>
        </is>
      </c>
      <c r="C601" t="inlineStr">
        <is>
          <t>VID | Founder story | v1</t>
        </is>
      </c>
      <c r="D601" t="inlineStr">
        <is>
          <t>Prospecting | Broad | EG</t>
        </is>
      </c>
      <c r="E601" t="inlineStr">
        <is>
          <t>UGC-Founder</t>
        </is>
      </c>
      <c r="F601" t="n">
        <v>165.47</v>
      </c>
      <c r="G601" s="20" t="n">
        <v>2115</v>
      </c>
      <c r="H601" s="21" t="n">
        <v>34</v>
      </c>
      <c r="I601" s="21" t="n">
        <v>0</v>
      </c>
      <c r="J601" s="21" t="n">
        <v>0</v>
      </c>
    </row>
    <row r="602">
      <c r="A602" s="19" t="n">
        <v>46293</v>
      </c>
      <c r="B602" t="inlineStr">
        <is>
          <t>Meta</t>
        </is>
      </c>
      <c r="C602" t="inlineStr">
        <is>
          <t>VID | Founder story | v4</t>
        </is>
      </c>
      <c r="D602" t="inlineStr">
        <is>
          <t>Prospecting | Broad | EG</t>
        </is>
      </c>
      <c r="E602" t="inlineStr">
        <is>
          <t>UGC-Founder</t>
        </is>
      </c>
      <c r="F602" t="n">
        <v>991.24</v>
      </c>
      <c r="G602" s="20" t="n">
        <v>12307</v>
      </c>
      <c r="H602" s="21" t="n">
        <v>190</v>
      </c>
      <c r="I602" s="21" t="n">
        <v>4</v>
      </c>
      <c r="J602" s="21" t="n">
        <v>2848.31</v>
      </c>
    </row>
    <row r="603">
      <c r="A603" s="19" t="n">
        <v>46293</v>
      </c>
      <c r="B603" t="inlineStr">
        <is>
          <t>Meta</t>
        </is>
      </c>
      <c r="C603" t="inlineStr">
        <is>
          <t>STATIC | Bundle offer | v2</t>
        </is>
      </c>
      <c r="D603" t="inlineStr">
        <is>
          <t>Prospecting | Broad | EG</t>
        </is>
      </c>
      <c r="E603" t="inlineStr">
        <is>
          <t>Static-Bundle</t>
        </is>
      </c>
      <c r="F603" t="n">
        <v>666.1</v>
      </c>
      <c r="G603" s="20" t="n">
        <v>8270</v>
      </c>
      <c r="H603" s="21" t="n">
        <v>128</v>
      </c>
      <c r="I603" s="21" t="n">
        <v>2</v>
      </c>
      <c r="J603" s="21" t="n">
        <v>1477.1</v>
      </c>
    </row>
    <row r="604">
      <c r="A604" s="19" t="n">
        <v>46293</v>
      </c>
      <c r="B604" t="inlineStr">
        <is>
          <t>Meta</t>
        </is>
      </c>
      <c r="C604" t="inlineStr">
        <is>
          <t>VID | Founder story | v3</t>
        </is>
      </c>
      <c r="D604" t="inlineStr">
        <is>
          <t>Prospecting | Broad | EG</t>
        </is>
      </c>
      <c r="E604" t="inlineStr">
        <is>
          <t>UGC-Founder</t>
        </is>
      </c>
      <c r="F604" t="n">
        <v>388.86</v>
      </c>
      <c r="G604" s="20" t="n">
        <v>4828</v>
      </c>
      <c r="H604" s="21" t="n">
        <v>75</v>
      </c>
      <c r="I604" s="21" t="n">
        <v>1</v>
      </c>
      <c r="J604" s="21" t="n">
        <v>711.71</v>
      </c>
    </row>
    <row r="605">
      <c r="A605" s="19" t="n">
        <v>46293</v>
      </c>
      <c r="B605" t="inlineStr">
        <is>
          <t>Meta</t>
        </is>
      </c>
      <c r="C605" t="inlineStr">
        <is>
          <t>VID | Review compilation | v1</t>
        </is>
      </c>
      <c r="D605" t="inlineStr">
        <is>
          <t>Prospecting | Interest | EG</t>
        </is>
      </c>
      <c r="E605" t="inlineStr">
        <is>
          <t>UGC-Reviews</t>
        </is>
      </c>
      <c r="F605" t="n">
        <v>401.9</v>
      </c>
      <c r="G605" s="20" t="n">
        <v>4990</v>
      </c>
      <c r="H605" s="21" t="n">
        <v>77</v>
      </c>
      <c r="I605" s="21" t="n">
        <v>2</v>
      </c>
      <c r="J605" s="21" t="n">
        <v>1327.95</v>
      </c>
    </row>
    <row r="606">
      <c r="A606" s="19" t="n">
        <v>46293</v>
      </c>
      <c r="B606" t="inlineStr">
        <is>
          <t>Meta</t>
        </is>
      </c>
      <c r="C606" t="inlineStr">
        <is>
          <t>STATIC | Bundle offer | v1</t>
        </is>
      </c>
      <c r="D606" t="inlineStr">
        <is>
          <t>Test | Broad | EG</t>
        </is>
      </c>
      <c r="E606" t="inlineStr">
        <is>
          <t>Static-Bundle</t>
        </is>
      </c>
      <c r="F606" t="n">
        <v>259.67</v>
      </c>
      <c r="G606" s="20" t="n">
        <v>3224</v>
      </c>
      <c r="H606" s="21" t="n">
        <v>50</v>
      </c>
      <c r="I606" s="21" t="n">
        <v>1</v>
      </c>
      <c r="J606" s="21" t="n">
        <v>637.97</v>
      </c>
    </row>
    <row r="607">
      <c r="A607" s="19" t="n">
        <v>46293</v>
      </c>
      <c r="B607" t="inlineStr">
        <is>
          <t>Meta</t>
        </is>
      </c>
      <c r="C607" t="inlineStr">
        <is>
          <t>STATIC | Discount 20% | v1</t>
        </is>
      </c>
      <c r="D607" t="inlineStr">
        <is>
          <t>Retargeting | 7d IC</t>
        </is>
      </c>
      <c r="E607" t="inlineStr">
        <is>
          <t>Static-Discount</t>
        </is>
      </c>
      <c r="F607" t="n">
        <v>210.69</v>
      </c>
      <c r="G607" s="20" t="n">
        <v>2616</v>
      </c>
      <c r="H607" s="21" t="n">
        <v>40</v>
      </c>
      <c r="I607" s="21" t="n">
        <v>1</v>
      </c>
      <c r="J607" s="21" t="n">
        <v>637.6900000000001</v>
      </c>
    </row>
    <row r="608">
      <c r="A608" s="19" t="n">
        <v>46293</v>
      </c>
      <c r="B608" t="inlineStr">
        <is>
          <t>Meta</t>
        </is>
      </c>
      <c r="C608" t="inlineStr">
        <is>
          <t>CAROUSEL | Best sellers</t>
        </is>
      </c>
      <c r="D608" t="inlineStr">
        <is>
          <t>Retargeting | 14d ATC</t>
        </is>
      </c>
      <c r="E608" t="inlineStr">
        <is>
          <t>Carousel-Bestsellers</t>
        </is>
      </c>
      <c r="F608" t="n">
        <v>189.31</v>
      </c>
      <c r="G608" s="20" t="n">
        <v>2350</v>
      </c>
      <c r="H608" s="21" t="n">
        <v>36</v>
      </c>
      <c r="I608" s="21" t="n">
        <v>1</v>
      </c>
      <c r="J608" s="21" t="n">
        <v>729.16</v>
      </c>
    </row>
    <row r="609">
      <c r="A609" s="19" t="n">
        <v>46293</v>
      </c>
      <c r="B609" t="inlineStr">
        <is>
          <t>Meta</t>
        </is>
      </c>
      <c r="C609" t="inlineStr">
        <is>
          <t>VID | Founder story | v1</t>
        </is>
      </c>
      <c r="D609" t="inlineStr">
        <is>
          <t>Prospecting | Broad | EG</t>
        </is>
      </c>
      <c r="E609" t="inlineStr">
        <is>
          <t>UGC-Founder</t>
        </is>
      </c>
      <c r="F609" t="n">
        <v>149.98</v>
      </c>
      <c r="G609" s="20" t="n">
        <v>1862</v>
      </c>
      <c r="H609" s="21" t="n">
        <v>29</v>
      </c>
      <c r="I609" s="21" t="n">
        <v>0</v>
      </c>
      <c r="J609" s="21" t="n">
        <v>0</v>
      </c>
    </row>
    <row r="610">
      <c r="A610" s="19" t="n">
        <v>46294</v>
      </c>
      <c r="B610" t="inlineStr">
        <is>
          <t>Meta</t>
        </is>
      </c>
      <c r="C610" t="inlineStr">
        <is>
          <t>VID | Founder story | v4</t>
        </is>
      </c>
      <c r="D610" t="inlineStr">
        <is>
          <t>Prospecting | Broad | EG</t>
        </is>
      </c>
      <c r="E610" t="inlineStr">
        <is>
          <t>UGC-Founder</t>
        </is>
      </c>
      <c r="F610" t="n">
        <v>871.72</v>
      </c>
      <c r="G610" s="20" t="n">
        <v>11304</v>
      </c>
      <c r="H610" s="21" t="n">
        <v>197</v>
      </c>
      <c r="I610" s="21" t="n">
        <v>4</v>
      </c>
      <c r="J610" s="21" t="n">
        <v>2992.24</v>
      </c>
    </row>
    <row r="611">
      <c r="A611" s="19" t="n">
        <v>46294</v>
      </c>
      <c r="B611" t="inlineStr">
        <is>
          <t>Meta</t>
        </is>
      </c>
      <c r="C611" t="inlineStr">
        <is>
          <t>STATIC | Bundle offer | v2</t>
        </is>
      </c>
      <c r="D611" t="inlineStr">
        <is>
          <t>Prospecting | Broad | EG</t>
        </is>
      </c>
      <c r="E611" t="inlineStr">
        <is>
          <t>Static-Bundle</t>
        </is>
      </c>
      <c r="F611" t="n">
        <v>600.4400000000001</v>
      </c>
      <c r="G611" s="20" t="n">
        <v>7786</v>
      </c>
      <c r="H611" s="21" t="n">
        <v>135</v>
      </c>
      <c r="I611" s="21" t="n">
        <v>2</v>
      </c>
      <c r="J611" s="21" t="n">
        <v>1370.09</v>
      </c>
    </row>
    <row r="612">
      <c r="A612" s="19" t="n">
        <v>46294</v>
      </c>
      <c r="B612" t="inlineStr">
        <is>
          <t>Meta</t>
        </is>
      </c>
      <c r="C612" t="inlineStr">
        <is>
          <t>VID | Founder story | v3</t>
        </is>
      </c>
      <c r="D612" t="inlineStr">
        <is>
          <t>Prospecting | Broad | EG</t>
        </is>
      </c>
      <c r="E612" t="inlineStr">
        <is>
          <t>UGC-Founder</t>
        </is>
      </c>
      <c r="F612" t="n">
        <v>394.63</v>
      </c>
      <c r="G612" s="20" t="n">
        <v>5117</v>
      </c>
      <c r="H612" s="21" t="n">
        <v>89</v>
      </c>
      <c r="I612" s="21" t="n">
        <v>2</v>
      </c>
      <c r="J612" s="21" t="n">
        <v>1465.28</v>
      </c>
    </row>
    <row r="613">
      <c r="A613" s="19" t="n">
        <v>46294</v>
      </c>
      <c r="B613" t="inlineStr">
        <is>
          <t>Meta</t>
        </is>
      </c>
      <c r="C613" t="inlineStr">
        <is>
          <t>VID | Review compilation | v1</t>
        </is>
      </c>
      <c r="D613" t="inlineStr">
        <is>
          <t>Prospecting | Interest | EG</t>
        </is>
      </c>
      <c r="E613" t="inlineStr">
        <is>
          <t>UGC-Reviews</t>
        </is>
      </c>
      <c r="F613" t="n">
        <v>427.23</v>
      </c>
      <c r="G613" s="20" t="n">
        <v>5540</v>
      </c>
      <c r="H613" s="21" t="n">
        <v>96</v>
      </c>
      <c r="I613" s="21" t="n">
        <v>2</v>
      </c>
      <c r="J613" s="21" t="n">
        <v>1401.46</v>
      </c>
    </row>
    <row r="614">
      <c r="A614" s="19" t="n">
        <v>46294</v>
      </c>
      <c r="B614" t="inlineStr">
        <is>
          <t>Meta</t>
        </is>
      </c>
      <c r="C614" t="inlineStr">
        <is>
          <t>STATIC | Bundle offer | v1</t>
        </is>
      </c>
      <c r="D614" t="inlineStr">
        <is>
          <t>Test | Broad | EG</t>
        </is>
      </c>
      <c r="E614" t="inlineStr">
        <is>
          <t>Static-Bundle</t>
        </is>
      </c>
      <c r="F614" t="n">
        <v>287.21</v>
      </c>
      <c r="G614" s="20" t="n">
        <v>3724</v>
      </c>
      <c r="H614" s="21" t="n">
        <v>65</v>
      </c>
      <c r="I614" s="21" t="n">
        <v>1</v>
      </c>
      <c r="J614" s="21" t="n">
        <v>620.3200000000001</v>
      </c>
    </row>
    <row r="615">
      <c r="A615" s="19" t="n">
        <v>46294</v>
      </c>
      <c r="B615" t="inlineStr">
        <is>
          <t>Meta</t>
        </is>
      </c>
      <c r="C615" t="inlineStr">
        <is>
          <t>STATIC | Discount 20% | v1</t>
        </is>
      </c>
      <c r="D615" t="inlineStr">
        <is>
          <t>Retargeting | 7d IC</t>
        </is>
      </c>
      <c r="E615" t="inlineStr">
        <is>
          <t>Static-Discount</t>
        </is>
      </c>
      <c r="F615" t="n">
        <v>272.61</v>
      </c>
      <c r="G615" s="20" t="n">
        <v>3535</v>
      </c>
      <c r="H615" s="21" t="n">
        <v>61</v>
      </c>
      <c r="I615" s="21" t="n">
        <v>2</v>
      </c>
      <c r="J615" s="21" t="n">
        <v>1345.23</v>
      </c>
    </row>
    <row r="616">
      <c r="A616" s="19" t="n">
        <v>46294</v>
      </c>
      <c r="B616" t="inlineStr">
        <is>
          <t>Meta</t>
        </is>
      </c>
      <c r="C616" t="inlineStr">
        <is>
          <t>CAROUSEL | Best sellers</t>
        </is>
      </c>
      <c r="D616" t="inlineStr">
        <is>
          <t>Retargeting | 14d ATC</t>
        </is>
      </c>
      <c r="E616" t="inlineStr">
        <is>
          <t>Carousel-Bestsellers</t>
        </is>
      </c>
      <c r="F616" t="n">
        <v>172.13</v>
      </c>
      <c r="G616" s="20" t="n">
        <v>2232</v>
      </c>
      <c r="H616" s="21" t="n">
        <v>39</v>
      </c>
      <c r="I616" s="21" t="n">
        <v>2</v>
      </c>
      <c r="J616" s="21" t="n">
        <v>1351.67</v>
      </c>
    </row>
    <row r="617">
      <c r="A617" s="19" t="n">
        <v>46294</v>
      </c>
      <c r="B617" t="inlineStr">
        <is>
          <t>Meta</t>
        </is>
      </c>
      <c r="C617" t="inlineStr">
        <is>
          <t>VID | Founder story | v1</t>
        </is>
      </c>
      <c r="D617" t="inlineStr">
        <is>
          <t>Prospecting | Broad | EG</t>
        </is>
      </c>
      <c r="E617" t="inlineStr">
        <is>
          <t>UGC-Founder</t>
        </is>
      </c>
      <c r="F617" t="n">
        <v>135.67</v>
      </c>
      <c r="G617" s="20" t="n">
        <v>1759</v>
      </c>
      <c r="H617" s="21" t="n">
        <v>31</v>
      </c>
      <c r="I617" s="21" t="n">
        <v>0</v>
      </c>
      <c r="J617" s="21" t="n">
        <v>0</v>
      </c>
    </row>
    <row r="618">
      <c r="A618" s="19" t="n">
        <v>46295</v>
      </c>
      <c r="B618" t="inlineStr">
        <is>
          <t>Meta</t>
        </is>
      </c>
      <c r="C618" t="inlineStr">
        <is>
          <t>VID | Founder story | v4</t>
        </is>
      </c>
      <c r="D618" t="inlineStr">
        <is>
          <t>Prospecting | Broad | EG</t>
        </is>
      </c>
      <c r="E618" t="inlineStr">
        <is>
          <t>UGC-Founder</t>
        </is>
      </c>
      <c r="F618" t="n">
        <v>859.76</v>
      </c>
      <c r="G618" s="20" t="n">
        <v>11381</v>
      </c>
      <c r="H618" s="21" t="n">
        <v>180</v>
      </c>
      <c r="I618" s="21" t="n">
        <v>4</v>
      </c>
      <c r="J618" s="21" t="n">
        <v>2434.37</v>
      </c>
    </row>
    <row r="619">
      <c r="A619" s="19" t="n">
        <v>46295</v>
      </c>
      <c r="B619" t="inlineStr">
        <is>
          <t>Meta</t>
        </is>
      </c>
      <c r="C619" t="inlineStr">
        <is>
          <t>STATIC | Bundle offer | v2</t>
        </is>
      </c>
      <c r="D619" t="inlineStr">
        <is>
          <t>Prospecting | Broad | EG</t>
        </is>
      </c>
      <c r="E619" t="inlineStr">
        <is>
          <t>Static-Bundle</t>
        </is>
      </c>
      <c r="F619" t="n">
        <v>637.67</v>
      </c>
      <c r="G619" s="20" t="n">
        <v>8441</v>
      </c>
      <c r="H619" s="21" t="n">
        <v>133</v>
      </c>
      <c r="I619" s="21" t="n">
        <v>2</v>
      </c>
      <c r="J619" s="21" t="n">
        <v>1271.47</v>
      </c>
    </row>
    <row r="620">
      <c r="A620" s="19" t="n">
        <v>46295</v>
      </c>
      <c r="B620" t="inlineStr">
        <is>
          <t>Meta</t>
        </is>
      </c>
      <c r="C620" t="inlineStr">
        <is>
          <t>VID | Founder story | v3</t>
        </is>
      </c>
      <c r="D620" t="inlineStr">
        <is>
          <t>Prospecting | Broad | EG</t>
        </is>
      </c>
      <c r="E620" t="inlineStr">
        <is>
          <t>UGC-Founder</t>
        </is>
      </c>
      <c r="F620" t="n">
        <v>455.71</v>
      </c>
      <c r="G620" s="20" t="n">
        <v>6032</v>
      </c>
      <c r="H620" s="21" t="n">
        <v>95</v>
      </c>
      <c r="I620" s="21" t="n">
        <v>2</v>
      </c>
      <c r="J620" s="21" t="n">
        <v>1422.94</v>
      </c>
    </row>
    <row r="621">
      <c r="A621" s="19" t="n">
        <v>46295</v>
      </c>
      <c r="B621" t="inlineStr">
        <is>
          <t>Meta</t>
        </is>
      </c>
      <c r="C621" t="inlineStr">
        <is>
          <t>VID | Review compilation | v1</t>
        </is>
      </c>
      <c r="D621" t="inlineStr">
        <is>
          <t>Prospecting | Interest | EG</t>
        </is>
      </c>
      <c r="E621" t="inlineStr">
        <is>
          <t>UGC-Reviews</t>
        </is>
      </c>
      <c r="F621" t="n">
        <v>412.28</v>
      </c>
      <c r="G621" s="20" t="n">
        <v>5458</v>
      </c>
      <c r="H621" s="21" t="n">
        <v>86</v>
      </c>
      <c r="I621" s="21" t="n">
        <v>2</v>
      </c>
      <c r="J621" s="21" t="n">
        <v>1481.26</v>
      </c>
    </row>
    <row r="622">
      <c r="A622" s="19" t="n">
        <v>46295</v>
      </c>
      <c r="B622" t="inlineStr">
        <is>
          <t>Meta</t>
        </is>
      </c>
      <c r="C622" t="inlineStr">
        <is>
          <t>STATIC | Bundle offer | v1</t>
        </is>
      </c>
      <c r="D622" t="inlineStr">
        <is>
          <t>Test | Broad | EG</t>
        </is>
      </c>
      <c r="E622" t="inlineStr">
        <is>
          <t>Static-Bundle</t>
        </is>
      </c>
      <c r="F622" t="n">
        <v>333.04</v>
      </c>
      <c r="G622" s="20" t="n">
        <v>4409</v>
      </c>
      <c r="H622" s="21" t="n">
        <v>70</v>
      </c>
      <c r="I622" s="21" t="n">
        <v>1</v>
      </c>
      <c r="J622" s="21" t="n">
        <v>609.01</v>
      </c>
    </row>
    <row r="623">
      <c r="A623" s="19" t="n">
        <v>46295</v>
      </c>
      <c r="B623" t="inlineStr">
        <is>
          <t>Meta</t>
        </is>
      </c>
      <c r="C623" t="inlineStr">
        <is>
          <t>STATIC | Discount 20% | v1</t>
        </is>
      </c>
      <c r="D623" t="inlineStr">
        <is>
          <t>Retargeting | 7d IC</t>
        </is>
      </c>
      <c r="E623" t="inlineStr">
        <is>
          <t>Static-Discount</t>
        </is>
      </c>
      <c r="F623" t="n">
        <v>219.6</v>
      </c>
      <c r="G623" s="20" t="n">
        <v>2907</v>
      </c>
      <c r="H623" s="21" t="n">
        <v>46</v>
      </c>
      <c r="I623" s="21" t="n">
        <v>1</v>
      </c>
      <c r="J623" s="21" t="n">
        <v>674.78</v>
      </c>
    </row>
    <row r="624">
      <c r="A624" s="19" t="n">
        <v>46295</v>
      </c>
      <c r="B624" t="inlineStr">
        <is>
          <t>Meta</t>
        </is>
      </c>
      <c r="C624" t="inlineStr">
        <is>
          <t>CAROUSEL | Best sellers</t>
        </is>
      </c>
      <c r="D624" t="inlineStr">
        <is>
          <t>Retargeting | 14d ATC</t>
        </is>
      </c>
      <c r="E624" t="inlineStr">
        <is>
          <t>Carousel-Bestsellers</t>
        </is>
      </c>
      <c r="F624" t="n">
        <v>192.04</v>
      </c>
      <c r="G624" s="20" t="n">
        <v>2542</v>
      </c>
      <c r="H624" s="21" t="n">
        <v>40</v>
      </c>
      <c r="I624" s="21" t="n">
        <v>2</v>
      </c>
      <c r="J624" s="21" t="n">
        <v>1349.74</v>
      </c>
    </row>
    <row r="625">
      <c r="A625" s="19" t="n">
        <v>46295</v>
      </c>
      <c r="B625" t="inlineStr">
        <is>
          <t>Meta</t>
        </is>
      </c>
      <c r="C625" t="inlineStr">
        <is>
          <t>VID | Founder story | v1</t>
        </is>
      </c>
      <c r="D625" t="inlineStr">
        <is>
          <t>Prospecting | Broad | EG</t>
        </is>
      </c>
      <c r="E625" t="inlineStr">
        <is>
          <t>UGC-Founder</t>
        </is>
      </c>
      <c r="F625" t="n">
        <v>126.32</v>
      </c>
      <c r="G625" s="20" t="n">
        <v>1672</v>
      </c>
      <c r="H625" s="21" t="n">
        <v>26</v>
      </c>
      <c r="I625" s="21" t="n">
        <v>0</v>
      </c>
      <c r="J625" s="21" t="n">
        <v>0</v>
      </c>
    </row>
    <row r="626">
      <c r="A626" s="19" t="n">
        <v>46296</v>
      </c>
      <c r="B626" t="inlineStr">
        <is>
          <t>Meta</t>
        </is>
      </c>
      <c r="C626" t="inlineStr">
        <is>
          <t>VID | Founder story | v4</t>
        </is>
      </c>
      <c r="D626" t="inlineStr">
        <is>
          <t>Prospecting | Broad | EG</t>
        </is>
      </c>
      <c r="E626" t="inlineStr">
        <is>
          <t>UGC-Founder</t>
        </is>
      </c>
      <c r="F626" t="n">
        <v>919.75</v>
      </c>
      <c r="G626" s="20" t="n">
        <v>12232</v>
      </c>
      <c r="H626" s="21" t="n">
        <v>191</v>
      </c>
      <c r="I626" s="21" t="n">
        <v>5</v>
      </c>
      <c r="J626" s="21" t="n">
        <v>3595.82</v>
      </c>
    </row>
    <row r="627">
      <c r="A627" s="19" t="n">
        <v>46296</v>
      </c>
      <c r="B627" t="inlineStr">
        <is>
          <t>Meta</t>
        </is>
      </c>
      <c r="C627" t="inlineStr">
        <is>
          <t>STATIC | Bundle offer | v2</t>
        </is>
      </c>
      <c r="D627" t="inlineStr">
        <is>
          <t>Prospecting | Broad | EG</t>
        </is>
      </c>
      <c r="E627" t="inlineStr">
        <is>
          <t>Static-Bundle</t>
        </is>
      </c>
      <c r="F627" t="n">
        <v>676.16</v>
      </c>
      <c r="G627" s="20" t="n">
        <v>8993</v>
      </c>
      <c r="H627" s="21" t="n">
        <v>141</v>
      </c>
      <c r="I627" s="21" t="n">
        <v>3</v>
      </c>
      <c r="J627" s="21" t="n">
        <v>2074.02</v>
      </c>
    </row>
    <row r="628">
      <c r="A628" s="19" t="n">
        <v>46296</v>
      </c>
      <c r="B628" t="inlineStr">
        <is>
          <t>Meta</t>
        </is>
      </c>
      <c r="C628" t="inlineStr">
        <is>
          <t>VID | Founder story | v3</t>
        </is>
      </c>
      <c r="D628" t="inlineStr">
        <is>
          <t>Prospecting | Broad | EG</t>
        </is>
      </c>
      <c r="E628" t="inlineStr">
        <is>
          <t>UGC-Founder</t>
        </is>
      </c>
      <c r="F628" t="n">
        <v>484.66</v>
      </c>
      <c r="G628" s="20" t="n">
        <v>6446</v>
      </c>
      <c r="H628" s="21" t="n">
        <v>101</v>
      </c>
      <c r="I628" s="21" t="n">
        <v>2</v>
      </c>
      <c r="J628" s="21" t="n">
        <v>1275.24</v>
      </c>
    </row>
    <row r="629">
      <c r="A629" s="19" t="n">
        <v>46296</v>
      </c>
      <c r="B629" t="inlineStr">
        <is>
          <t>Meta</t>
        </is>
      </c>
      <c r="C629" t="inlineStr">
        <is>
          <t>VID | Review compilation | v1</t>
        </is>
      </c>
      <c r="D629" t="inlineStr">
        <is>
          <t>Prospecting | Interest | EG</t>
        </is>
      </c>
      <c r="E629" t="inlineStr">
        <is>
          <t>UGC-Reviews</t>
        </is>
      </c>
      <c r="F629" t="n">
        <v>558.51</v>
      </c>
      <c r="G629" s="20" t="n">
        <v>7428</v>
      </c>
      <c r="H629" s="21" t="n">
        <v>116</v>
      </c>
      <c r="I629" s="21" t="n">
        <v>2</v>
      </c>
      <c r="J629" s="21" t="n">
        <v>1420.91</v>
      </c>
    </row>
    <row r="630">
      <c r="A630" s="19" t="n">
        <v>46296</v>
      </c>
      <c r="B630" t="inlineStr">
        <is>
          <t>Meta</t>
        </is>
      </c>
      <c r="C630" t="inlineStr">
        <is>
          <t>STATIC | Bundle offer | v1</t>
        </is>
      </c>
      <c r="D630" t="inlineStr">
        <is>
          <t>Test | Broad | EG</t>
        </is>
      </c>
      <c r="E630" t="inlineStr">
        <is>
          <t>Static-Bundle</t>
        </is>
      </c>
      <c r="F630" t="n">
        <v>314.31</v>
      </c>
      <c r="G630" s="20" t="n">
        <v>4180</v>
      </c>
      <c r="H630" s="21" t="n">
        <v>65</v>
      </c>
      <c r="I630" s="21" t="n">
        <v>1</v>
      </c>
      <c r="J630" s="21" t="n">
        <v>633.6</v>
      </c>
    </row>
    <row r="631">
      <c r="A631" s="19" t="n">
        <v>46296</v>
      </c>
      <c r="B631" t="inlineStr">
        <is>
          <t>Meta</t>
        </is>
      </c>
      <c r="C631" t="inlineStr">
        <is>
          <t>STATIC | Discount 20% | v1</t>
        </is>
      </c>
      <c r="D631" t="inlineStr">
        <is>
          <t>Retargeting | 7d IC</t>
        </is>
      </c>
      <c r="E631" t="inlineStr">
        <is>
          <t>Static-Discount</t>
        </is>
      </c>
      <c r="F631" t="n">
        <v>319.77</v>
      </c>
      <c r="G631" s="20" t="n">
        <v>4253</v>
      </c>
      <c r="H631" s="21" t="n">
        <v>66</v>
      </c>
      <c r="I631" s="21" t="n">
        <v>3</v>
      </c>
      <c r="J631" s="21" t="n">
        <v>2194.19</v>
      </c>
    </row>
    <row r="632">
      <c r="A632" s="19" t="n">
        <v>46296</v>
      </c>
      <c r="B632" t="inlineStr">
        <is>
          <t>Meta</t>
        </is>
      </c>
      <c r="C632" t="inlineStr">
        <is>
          <t>CAROUSEL | Best sellers</t>
        </is>
      </c>
      <c r="D632" t="inlineStr">
        <is>
          <t>Retargeting | 14d ATC</t>
        </is>
      </c>
      <c r="E632" t="inlineStr">
        <is>
          <t>Carousel-Bestsellers</t>
        </is>
      </c>
      <c r="F632" t="n">
        <v>184.72</v>
      </c>
      <c r="G632" s="20" t="n">
        <v>2457</v>
      </c>
      <c r="H632" s="21" t="n">
        <v>38</v>
      </c>
      <c r="I632" s="21" t="n">
        <v>2</v>
      </c>
      <c r="J632" s="21" t="n">
        <v>1437.68</v>
      </c>
    </row>
    <row r="633">
      <c r="A633" s="19" t="n">
        <v>46296</v>
      </c>
      <c r="B633" t="inlineStr">
        <is>
          <t>Meta</t>
        </is>
      </c>
      <c r="C633" t="inlineStr">
        <is>
          <t>VID | Founder story | v1</t>
        </is>
      </c>
      <c r="D633" t="inlineStr">
        <is>
          <t>Prospecting | Broad | EG</t>
        </is>
      </c>
      <c r="E633" t="inlineStr">
        <is>
          <t>UGC-Founder</t>
        </is>
      </c>
      <c r="F633" t="n">
        <v>144.5</v>
      </c>
      <c r="G633" s="20" t="n">
        <v>1922</v>
      </c>
      <c r="H633" s="21" t="n">
        <v>30</v>
      </c>
      <c r="I633" s="21" t="n">
        <v>0</v>
      </c>
      <c r="J633" s="21" t="n">
        <v>0</v>
      </c>
    </row>
    <row r="634">
      <c r="A634" s="19" t="n">
        <v>46297</v>
      </c>
      <c r="B634" t="inlineStr">
        <is>
          <t>Meta</t>
        </is>
      </c>
      <c r="C634" t="inlineStr">
        <is>
          <t>VID | Founder story | v4</t>
        </is>
      </c>
      <c r="D634" t="inlineStr">
        <is>
          <t>Prospecting | Broad | EG</t>
        </is>
      </c>
      <c r="E634" t="inlineStr">
        <is>
          <t>UGC-Founder</t>
        </is>
      </c>
      <c r="F634" t="n">
        <v>1174.71</v>
      </c>
      <c r="G634" s="20" t="n">
        <v>14761</v>
      </c>
      <c r="H634" s="21" t="n">
        <v>239</v>
      </c>
      <c r="I634" s="21" t="n">
        <v>4</v>
      </c>
      <c r="J634" s="21" t="n">
        <v>2808.55</v>
      </c>
    </row>
    <row r="635">
      <c r="A635" s="19" t="n">
        <v>46297</v>
      </c>
      <c r="B635" t="inlineStr">
        <is>
          <t>Meta</t>
        </is>
      </c>
      <c r="C635" t="inlineStr">
        <is>
          <t>STATIC | Bundle offer | v2</t>
        </is>
      </c>
      <c r="D635" t="inlineStr">
        <is>
          <t>Prospecting | Broad | EG</t>
        </is>
      </c>
      <c r="E635" t="inlineStr">
        <is>
          <t>Static-Bundle</t>
        </is>
      </c>
      <c r="F635" t="n">
        <v>721.53</v>
      </c>
      <c r="G635" s="20" t="n">
        <v>9066</v>
      </c>
      <c r="H635" s="21" t="n">
        <v>147</v>
      </c>
      <c r="I635" s="21" t="n">
        <v>2</v>
      </c>
      <c r="J635" s="21" t="n">
        <v>1421.31</v>
      </c>
    </row>
    <row r="636">
      <c r="A636" s="19" t="n">
        <v>46297</v>
      </c>
      <c r="B636" t="inlineStr">
        <is>
          <t>Meta</t>
        </is>
      </c>
      <c r="C636" t="inlineStr">
        <is>
          <t>VID | Founder story | v3</t>
        </is>
      </c>
      <c r="D636" t="inlineStr">
        <is>
          <t>Prospecting | Broad | EG</t>
        </is>
      </c>
      <c r="E636" t="inlineStr">
        <is>
          <t>UGC-Founder</t>
        </is>
      </c>
      <c r="F636" t="n">
        <v>548.89</v>
      </c>
      <c r="G636" s="20" t="n">
        <v>6897</v>
      </c>
      <c r="H636" s="21" t="n">
        <v>112</v>
      </c>
      <c r="I636" s="21" t="n">
        <v>2</v>
      </c>
      <c r="J636" s="21" t="n">
        <v>1611.69</v>
      </c>
    </row>
    <row r="637">
      <c r="A637" s="19" t="n">
        <v>46297</v>
      </c>
      <c r="B637" t="inlineStr">
        <is>
          <t>Meta</t>
        </is>
      </c>
      <c r="C637" t="inlineStr">
        <is>
          <t>VID | Review compilation | v1</t>
        </is>
      </c>
      <c r="D637" t="inlineStr">
        <is>
          <t>Prospecting | Interest | EG</t>
        </is>
      </c>
      <c r="E637" t="inlineStr">
        <is>
          <t>UGC-Reviews</t>
        </is>
      </c>
      <c r="F637" t="n">
        <v>547.76</v>
      </c>
      <c r="G637" s="20" t="n">
        <v>6883</v>
      </c>
      <c r="H637" s="21" t="n">
        <v>111</v>
      </c>
      <c r="I637" s="21" t="n">
        <v>2</v>
      </c>
      <c r="J637" s="21" t="n">
        <v>1492.32</v>
      </c>
    </row>
    <row r="638">
      <c r="A638" s="19" t="n">
        <v>46297</v>
      </c>
      <c r="B638" t="inlineStr">
        <is>
          <t>Meta</t>
        </is>
      </c>
      <c r="C638" t="inlineStr">
        <is>
          <t>STATIC | Bundle offer | v1</t>
        </is>
      </c>
      <c r="D638" t="inlineStr">
        <is>
          <t>Test | Broad | EG</t>
        </is>
      </c>
      <c r="E638" t="inlineStr">
        <is>
          <t>Static-Bundle</t>
        </is>
      </c>
      <c r="F638" t="n">
        <v>421.26</v>
      </c>
      <c r="G638" s="20" t="n">
        <v>5293</v>
      </c>
      <c r="H638" s="21" t="n">
        <v>86</v>
      </c>
      <c r="I638" s="21" t="n">
        <v>1</v>
      </c>
      <c r="J638" s="21" t="n">
        <v>727.98</v>
      </c>
    </row>
    <row r="639">
      <c r="A639" s="19" t="n">
        <v>46297</v>
      </c>
      <c r="B639" t="inlineStr">
        <is>
          <t>Meta</t>
        </is>
      </c>
      <c r="C639" t="inlineStr">
        <is>
          <t>STATIC | Discount 20% | v1</t>
        </is>
      </c>
      <c r="D639" t="inlineStr">
        <is>
          <t>Retargeting | 7d IC</t>
        </is>
      </c>
      <c r="E639" t="inlineStr">
        <is>
          <t>Static-Discount</t>
        </is>
      </c>
      <c r="F639" t="n">
        <v>275.23</v>
      </c>
      <c r="G639" s="20" t="n">
        <v>3458</v>
      </c>
      <c r="H639" s="21" t="n">
        <v>56</v>
      </c>
      <c r="I639" s="21" t="n">
        <v>2</v>
      </c>
      <c r="J639" s="21" t="n">
        <v>1606.55</v>
      </c>
    </row>
    <row r="640">
      <c r="A640" s="19" t="n">
        <v>46297</v>
      </c>
      <c r="B640" t="inlineStr">
        <is>
          <t>Meta</t>
        </is>
      </c>
      <c r="C640" t="inlineStr">
        <is>
          <t>CAROUSEL | Best sellers</t>
        </is>
      </c>
      <c r="D640" t="inlineStr">
        <is>
          <t>Retargeting | 14d ATC</t>
        </is>
      </c>
      <c r="E640" t="inlineStr">
        <is>
          <t>Carousel-Bestsellers</t>
        </is>
      </c>
      <c r="F640" t="n">
        <v>245.61</v>
      </c>
      <c r="G640" s="20" t="n">
        <v>3086</v>
      </c>
      <c r="H640" s="21" t="n">
        <v>50</v>
      </c>
      <c r="I640" s="21" t="n">
        <v>2</v>
      </c>
      <c r="J640" s="21" t="n">
        <v>1412.47</v>
      </c>
    </row>
    <row r="641">
      <c r="A641" s="19" t="n">
        <v>46297</v>
      </c>
      <c r="B641" t="inlineStr">
        <is>
          <t>Meta</t>
        </is>
      </c>
      <c r="C641" t="inlineStr">
        <is>
          <t>VID | Founder story | v1</t>
        </is>
      </c>
      <c r="D641" t="inlineStr">
        <is>
          <t>Prospecting | Broad | EG</t>
        </is>
      </c>
      <c r="E641" t="inlineStr">
        <is>
          <t>UGC-Founder</t>
        </is>
      </c>
      <c r="F641" t="n">
        <v>150.91</v>
      </c>
      <c r="G641" s="20" t="n">
        <v>1896</v>
      </c>
      <c r="H641" s="21" t="n">
        <v>31</v>
      </c>
      <c r="I641" s="21" t="n">
        <v>0</v>
      </c>
      <c r="J641" s="21" t="n">
        <v>0</v>
      </c>
    </row>
    <row r="642">
      <c r="A642" s="19" t="n">
        <v>46298</v>
      </c>
      <c r="B642" t="inlineStr">
        <is>
          <t>Meta</t>
        </is>
      </c>
      <c r="C642" t="inlineStr">
        <is>
          <t>VID | Founder story | v4</t>
        </is>
      </c>
      <c r="D642" t="inlineStr">
        <is>
          <t>Prospecting | Broad | EG</t>
        </is>
      </c>
      <c r="E642" t="inlineStr">
        <is>
          <t>UGC-Founder</t>
        </is>
      </c>
      <c r="F642" t="n">
        <v>1193.4</v>
      </c>
      <c r="G642" s="20" t="n">
        <v>15584</v>
      </c>
      <c r="H642" s="21" t="n">
        <v>231</v>
      </c>
      <c r="I642" s="21" t="n">
        <v>5</v>
      </c>
      <c r="J642" s="21" t="n">
        <v>3774.1</v>
      </c>
    </row>
    <row r="643">
      <c r="A643" s="19" t="n">
        <v>46298</v>
      </c>
      <c r="B643" t="inlineStr">
        <is>
          <t>Meta</t>
        </is>
      </c>
      <c r="C643" t="inlineStr">
        <is>
          <t>STATIC | Bundle offer | v2</t>
        </is>
      </c>
      <c r="D643" t="inlineStr">
        <is>
          <t>Prospecting | Broad | EG</t>
        </is>
      </c>
      <c r="E643" t="inlineStr">
        <is>
          <t>Static-Bundle</t>
        </is>
      </c>
      <c r="F643" t="n">
        <v>848.3099999999999</v>
      </c>
      <c r="G643" s="20" t="n">
        <v>11078</v>
      </c>
      <c r="H643" s="21" t="n">
        <v>164</v>
      </c>
      <c r="I643" s="21" t="n">
        <v>3</v>
      </c>
      <c r="J643" s="21" t="n">
        <v>2299.5</v>
      </c>
    </row>
    <row r="644">
      <c r="A644" s="19" t="n">
        <v>46298</v>
      </c>
      <c r="B644" t="inlineStr">
        <is>
          <t>Meta</t>
        </is>
      </c>
      <c r="C644" t="inlineStr">
        <is>
          <t>VID | Founder story | v3</t>
        </is>
      </c>
      <c r="D644" t="inlineStr">
        <is>
          <t>Prospecting | Broad | EG</t>
        </is>
      </c>
      <c r="E644" t="inlineStr">
        <is>
          <t>UGC-Founder</t>
        </is>
      </c>
      <c r="F644" t="n">
        <v>635.97</v>
      </c>
      <c r="G644" s="20" t="n">
        <v>8305</v>
      </c>
      <c r="H644" s="21" t="n">
        <v>123</v>
      </c>
      <c r="I644" s="21" t="n">
        <v>2</v>
      </c>
      <c r="J644" s="21" t="n">
        <v>1365.59</v>
      </c>
    </row>
    <row r="645">
      <c r="A645" s="19" t="n">
        <v>46298</v>
      </c>
      <c r="B645" t="inlineStr">
        <is>
          <t>Meta</t>
        </is>
      </c>
      <c r="C645" t="inlineStr">
        <is>
          <t>VID | Review compilation | v1</t>
        </is>
      </c>
      <c r="D645" t="inlineStr">
        <is>
          <t>Prospecting | Interest | EG</t>
        </is>
      </c>
      <c r="E645" t="inlineStr">
        <is>
          <t>UGC-Reviews</t>
        </is>
      </c>
      <c r="F645" t="n">
        <v>617.05</v>
      </c>
      <c r="G645" s="20" t="n">
        <v>8058</v>
      </c>
      <c r="H645" s="21" t="n">
        <v>119</v>
      </c>
      <c r="I645" s="21" t="n">
        <v>2</v>
      </c>
      <c r="J645" s="21" t="n">
        <v>1444.33</v>
      </c>
    </row>
    <row r="646">
      <c r="A646" s="19" t="n">
        <v>46298</v>
      </c>
      <c r="B646" t="inlineStr">
        <is>
          <t>Meta</t>
        </is>
      </c>
      <c r="C646" t="inlineStr">
        <is>
          <t>STATIC | Bundle offer | v1</t>
        </is>
      </c>
      <c r="D646" t="inlineStr">
        <is>
          <t>Test | Broad | EG</t>
        </is>
      </c>
      <c r="E646" t="inlineStr">
        <is>
          <t>Static-Bundle</t>
        </is>
      </c>
      <c r="F646" t="n">
        <v>376.16</v>
      </c>
      <c r="G646" s="20" t="n">
        <v>4912</v>
      </c>
      <c r="H646" s="21" t="n">
        <v>73</v>
      </c>
      <c r="I646" s="21" t="n">
        <v>1</v>
      </c>
      <c r="J646" s="21" t="n">
        <v>771.1</v>
      </c>
    </row>
    <row r="647">
      <c r="A647" s="19" t="n">
        <v>46298</v>
      </c>
      <c r="B647" t="inlineStr">
        <is>
          <t>Meta</t>
        </is>
      </c>
      <c r="C647" t="inlineStr">
        <is>
          <t>STATIC | Discount 20% | v1</t>
        </is>
      </c>
      <c r="D647" t="inlineStr">
        <is>
          <t>Retargeting | 7d IC</t>
        </is>
      </c>
      <c r="E647" t="inlineStr">
        <is>
          <t>Static-Discount</t>
        </is>
      </c>
      <c r="F647" t="n">
        <v>311.32</v>
      </c>
      <c r="G647" s="20" t="n">
        <v>4065</v>
      </c>
      <c r="H647" s="21" t="n">
        <v>60</v>
      </c>
      <c r="I647" s="21" t="n">
        <v>2</v>
      </c>
      <c r="J647" s="21" t="n">
        <v>1485.39</v>
      </c>
    </row>
    <row r="648">
      <c r="A648" s="19" t="n">
        <v>46298</v>
      </c>
      <c r="B648" t="inlineStr">
        <is>
          <t>Meta</t>
        </is>
      </c>
      <c r="C648" t="inlineStr">
        <is>
          <t>CAROUSEL | Best sellers</t>
        </is>
      </c>
      <c r="D648" t="inlineStr">
        <is>
          <t>Retargeting | 14d ATC</t>
        </is>
      </c>
      <c r="E648" t="inlineStr">
        <is>
          <t>Carousel-Bestsellers</t>
        </is>
      </c>
      <c r="F648" t="n">
        <v>206.11</v>
      </c>
      <c r="G648" s="20" t="n">
        <v>2691</v>
      </c>
      <c r="H648" s="21" t="n">
        <v>40</v>
      </c>
      <c r="I648" s="21" t="n">
        <v>1</v>
      </c>
      <c r="J648" s="21" t="n">
        <v>676.4400000000001</v>
      </c>
    </row>
    <row r="649">
      <c r="A649" s="19" t="n">
        <v>46298</v>
      </c>
      <c r="B649" t="inlineStr">
        <is>
          <t>Meta</t>
        </is>
      </c>
      <c r="C649" t="inlineStr">
        <is>
          <t>VID | Founder story | v1</t>
        </is>
      </c>
      <c r="D649" t="inlineStr">
        <is>
          <t>Prospecting | Broad | EG</t>
        </is>
      </c>
      <c r="E649" t="inlineStr">
        <is>
          <t>UGC-Founder</t>
        </is>
      </c>
      <c r="F649" t="n">
        <v>202.83</v>
      </c>
      <c r="G649" s="20" t="n">
        <v>2649</v>
      </c>
      <c r="H649" s="21" t="n">
        <v>39</v>
      </c>
      <c r="I649" s="21" t="n">
        <v>0</v>
      </c>
      <c r="J649" s="21" t="n">
        <v>0</v>
      </c>
    </row>
    <row r="650">
      <c r="A650" s="19" t="n">
        <v>46299</v>
      </c>
      <c r="B650" t="inlineStr">
        <is>
          <t>Meta</t>
        </is>
      </c>
      <c r="C650" t="inlineStr">
        <is>
          <t>VID | Founder story | v4</t>
        </is>
      </c>
      <c r="D650" t="inlineStr">
        <is>
          <t>Prospecting | Broad | EG</t>
        </is>
      </c>
      <c r="E650" t="inlineStr">
        <is>
          <t>UGC-Founder</t>
        </is>
      </c>
      <c r="F650" t="n">
        <v>1053.79</v>
      </c>
      <c r="G650" s="20" t="n">
        <v>13540</v>
      </c>
      <c r="H650" s="21" t="n">
        <v>216</v>
      </c>
      <c r="I650" s="21" t="n">
        <v>4</v>
      </c>
      <c r="J650" s="21" t="n">
        <v>2571.9</v>
      </c>
    </row>
    <row r="651">
      <c r="A651" s="19" t="n">
        <v>46299</v>
      </c>
      <c r="B651" t="inlineStr">
        <is>
          <t>Meta</t>
        </is>
      </c>
      <c r="C651" t="inlineStr">
        <is>
          <t>STATIC | Bundle offer | v2</t>
        </is>
      </c>
      <c r="D651" t="inlineStr">
        <is>
          <t>Prospecting | Broad | EG</t>
        </is>
      </c>
      <c r="E651" t="inlineStr">
        <is>
          <t>Static-Bundle</t>
        </is>
      </c>
      <c r="F651" t="n">
        <v>580.25</v>
      </c>
      <c r="G651" s="20" t="n">
        <v>7456</v>
      </c>
      <c r="H651" s="21" t="n">
        <v>119</v>
      </c>
      <c r="I651" s="21" t="n">
        <v>2</v>
      </c>
      <c r="J651" s="21" t="n">
        <v>1307.34</v>
      </c>
    </row>
    <row r="652">
      <c r="A652" s="19" t="n">
        <v>46299</v>
      </c>
      <c r="B652" t="inlineStr">
        <is>
          <t>Meta</t>
        </is>
      </c>
      <c r="C652" t="inlineStr">
        <is>
          <t>VID | Founder story | v3</t>
        </is>
      </c>
      <c r="D652" t="inlineStr">
        <is>
          <t>Prospecting | Broad | EG</t>
        </is>
      </c>
      <c r="E652" t="inlineStr">
        <is>
          <t>UGC-Founder</t>
        </is>
      </c>
      <c r="F652" t="n">
        <v>428.62</v>
      </c>
      <c r="G652" s="20" t="n">
        <v>5507</v>
      </c>
      <c r="H652" s="21" t="n">
        <v>88</v>
      </c>
      <c r="I652" s="21" t="n">
        <v>1</v>
      </c>
      <c r="J652" s="21" t="n">
        <v>680.17</v>
      </c>
    </row>
    <row r="653">
      <c r="A653" s="19" t="n">
        <v>46299</v>
      </c>
      <c r="B653" t="inlineStr">
        <is>
          <t>Meta</t>
        </is>
      </c>
      <c r="C653" t="inlineStr">
        <is>
          <t>VID | Review compilation | v1</t>
        </is>
      </c>
      <c r="D653" t="inlineStr">
        <is>
          <t>Prospecting | Interest | EG</t>
        </is>
      </c>
      <c r="E653" t="inlineStr">
        <is>
          <t>UGC-Reviews</t>
        </is>
      </c>
      <c r="F653" t="n">
        <v>444.2</v>
      </c>
      <c r="G653" s="20" t="n">
        <v>5707</v>
      </c>
      <c r="H653" s="21" t="n">
        <v>91</v>
      </c>
      <c r="I653" s="21" t="n">
        <v>1</v>
      </c>
      <c r="J653" s="21" t="n">
        <v>631.24</v>
      </c>
    </row>
    <row r="654">
      <c r="A654" s="19" t="n">
        <v>46299</v>
      </c>
      <c r="B654" t="inlineStr">
        <is>
          <t>Meta</t>
        </is>
      </c>
      <c r="C654" t="inlineStr">
        <is>
          <t>STATIC | Bundle offer | v1</t>
        </is>
      </c>
      <c r="D654" t="inlineStr">
        <is>
          <t>Test | Broad | EG</t>
        </is>
      </c>
      <c r="E654" t="inlineStr">
        <is>
          <t>Static-Bundle</t>
        </is>
      </c>
      <c r="F654" t="n">
        <v>334.07</v>
      </c>
      <c r="G654" s="20" t="n">
        <v>4293</v>
      </c>
      <c r="H654" s="21" t="n">
        <v>69</v>
      </c>
      <c r="I654" s="21" t="n">
        <v>1</v>
      </c>
      <c r="J654" s="21" t="n">
        <v>653.88</v>
      </c>
    </row>
    <row r="655">
      <c r="A655" s="19" t="n">
        <v>46299</v>
      </c>
      <c r="B655" t="inlineStr">
        <is>
          <t>Meta</t>
        </is>
      </c>
      <c r="C655" t="inlineStr">
        <is>
          <t>STATIC | Discount 20% | v1</t>
        </is>
      </c>
      <c r="D655" t="inlineStr">
        <is>
          <t>Retargeting | 7d IC</t>
        </is>
      </c>
      <c r="E655" t="inlineStr">
        <is>
          <t>Static-Discount</t>
        </is>
      </c>
      <c r="F655" t="n">
        <v>289.46</v>
      </c>
      <c r="G655" s="20" t="n">
        <v>3719</v>
      </c>
      <c r="H655" s="21" t="n">
        <v>59</v>
      </c>
      <c r="I655" s="21" t="n">
        <v>2</v>
      </c>
      <c r="J655" s="21" t="n">
        <v>1270.16</v>
      </c>
    </row>
    <row r="656">
      <c r="A656" s="19" t="n">
        <v>46299</v>
      </c>
      <c r="B656" t="inlineStr">
        <is>
          <t>Meta</t>
        </is>
      </c>
      <c r="C656" t="inlineStr">
        <is>
          <t>CAROUSEL | Best sellers</t>
        </is>
      </c>
      <c r="D656" t="inlineStr">
        <is>
          <t>Retargeting | 14d ATC</t>
        </is>
      </c>
      <c r="E656" t="inlineStr">
        <is>
          <t>Carousel-Bestsellers</t>
        </is>
      </c>
      <c r="F656" t="n">
        <v>164.65</v>
      </c>
      <c r="G656" s="20" t="n">
        <v>2116</v>
      </c>
      <c r="H656" s="21" t="n">
        <v>34</v>
      </c>
      <c r="I656" s="21" t="n">
        <v>1</v>
      </c>
      <c r="J656" s="21" t="n">
        <v>741.51</v>
      </c>
    </row>
    <row r="657">
      <c r="A657" s="19" t="n">
        <v>46299</v>
      </c>
      <c r="B657" t="inlineStr">
        <is>
          <t>Meta</t>
        </is>
      </c>
      <c r="C657" t="inlineStr">
        <is>
          <t>VID | Founder story | v1</t>
        </is>
      </c>
      <c r="D657" t="inlineStr">
        <is>
          <t>Prospecting | Broad | EG</t>
        </is>
      </c>
      <c r="E657" t="inlineStr">
        <is>
          <t>UGC-Founder</t>
        </is>
      </c>
      <c r="F657" t="n">
        <v>131.78</v>
      </c>
      <c r="G657" s="20" t="n">
        <v>1693</v>
      </c>
      <c r="H657" s="21" t="n">
        <v>27</v>
      </c>
      <c r="I657" s="21" t="n">
        <v>0</v>
      </c>
      <c r="J657" s="21" t="n">
        <v>0</v>
      </c>
    </row>
    <row r="658">
      <c r="A658" s="19" t="n">
        <v>46300</v>
      </c>
      <c r="B658" t="inlineStr">
        <is>
          <t>Meta</t>
        </is>
      </c>
      <c r="C658" t="inlineStr">
        <is>
          <t>VID | Founder story | v4</t>
        </is>
      </c>
      <c r="D658" t="inlineStr">
        <is>
          <t>Prospecting | Broad | EG</t>
        </is>
      </c>
      <c r="E658" t="inlineStr">
        <is>
          <t>UGC-Founder</t>
        </is>
      </c>
      <c r="F658" t="n">
        <v>817.8200000000001</v>
      </c>
      <c r="G658" s="20" t="n">
        <v>10387</v>
      </c>
      <c r="H658" s="21" t="n">
        <v>189</v>
      </c>
      <c r="I658" s="21" t="n">
        <v>3</v>
      </c>
      <c r="J658" s="21" t="n">
        <v>2082.07</v>
      </c>
    </row>
    <row r="659">
      <c r="A659" s="19" t="n">
        <v>46300</v>
      </c>
      <c r="B659" t="inlineStr">
        <is>
          <t>Meta</t>
        </is>
      </c>
      <c r="C659" t="inlineStr">
        <is>
          <t>STATIC | Bundle offer | v2</t>
        </is>
      </c>
      <c r="D659" t="inlineStr">
        <is>
          <t>Prospecting | Broad | EG</t>
        </is>
      </c>
      <c r="E659" t="inlineStr">
        <is>
          <t>Static-Bundle</t>
        </is>
      </c>
      <c r="F659" t="n">
        <v>705.0700000000001</v>
      </c>
      <c r="G659" s="20" t="n">
        <v>8955</v>
      </c>
      <c r="H659" s="21" t="n">
        <v>163</v>
      </c>
      <c r="I659" s="21" t="n">
        <v>2</v>
      </c>
      <c r="J659" s="21" t="n">
        <v>1518.63</v>
      </c>
    </row>
    <row r="660">
      <c r="A660" s="19" t="n">
        <v>46300</v>
      </c>
      <c r="B660" t="inlineStr">
        <is>
          <t>Meta</t>
        </is>
      </c>
      <c r="C660" t="inlineStr">
        <is>
          <t>VID | Founder story | v3</t>
        </is>
      </c>
      <c r="D660" t="inlineStr">
        <is>
          <t>Prospecting | Broad | EG</t>
        </is>
      </c>
      <c r="E660" t="inlineStr">
        <is>
          <t>UGC-Founder</t>
        </is>
      </c>
      <c r="F660" t="n">
        <v>408.89</v>
      </c>
      <c r="G660" s="20" t="n">
        <v>5193</v>
      </c>
      <c r="H660" s="21" t="n">
        <v>94</v>
      </c>
      <c r="I660" s="21" t="n">
        <v>1</v>
      </c>
      <c r="J660" s="21" t="n">
        <v>680.8200000000001</v>
      </c>
    </row>
    <row r="661">
      <c r="A661" s="19" t="n">
        <v>46300</v>
      </c>
      <c r="B661" t="inlineStr">
        <is>
          <t>Meta</t>
        </is>
      </c>
      <c r="C661" t="inlineStr">
        <is>
          <t>VID | Review compilation | v1</t>
        </is>
      </c>
      <c r="D661" t="inlineStr">
        <is>
          <t>Prospecting | Interest | EG</t>
        </is>
      </c>
      <c r="E661" t="inlineStr">
        <is>
          <t>UGC-Reviews</t>
        </is>
      </c>
      <c r="F661" t="n">
        <v>448.26</v>
      </c>
      <c r="G661" s="20" t="n">
        <v>5693</v>
      </c>
      <c r="H661" s="21" t="n">
        <v>103</v>
      </c>
      <c r="I661" s="21" t="n">
        <v>2</v>
      </c>
      <c r="J661" s="21" t="n">
        <v>1391.08</v>
      </c>
    </row>
    <row r="662">
      <c r="A662" s="19" t="n">
        <v>46300</v>
      </c>
      <c r="B662" t="inlineStr">
        <is>
          <t>Meta</t>
        </is>
      </c>
      <c r="C662" t="inlineStr">
        <is>
          <t>STATIC | Bundle offer | v1</t>
        </is>
      </c>
      <c r="D662" t="inlineStr">
        <is>
          <t>Test | Broad | EG</t>
        </is>
      </c>
      <c r="E662" t="inlineStr">
        <is>
          <t>Static-Bundle</t>
        </is>
      </c>
      <c r="F662" t="n">
        <v>354.53</v>
      </c>
      <c r="G662" s="20" t="n">
        <v>4503</v>
      </c>
      <c r="H662" s="21" t="n">
        <v>82</v>
      </c>
      <c r="I662" s="21" t="n">
        <v>1</v>
      </c>
      <c r="J662" s="21" t="n">
        <v>722.42</v>
      </c>
    </row>
    <row r="663">
      <c r="A663" s="19" t="n">
        <v>46300</v>
      </c>
      <c r="B663" t="inlineStr">
        <is>
          <t>Meta</t>
        </is>
      </c>
      <c r="C663" t="inlineStr">
        <is>
          <t>STATIC | Discount 20% | v1</t>
        </is>
      </c>
      <c r="D663" t="inlineStr">
        <is>
          <t>Retargeting | 7d IC</t>
        </is>
      </c>
      <c r="E663" t="inlineStr">
        <is>
          <t>Static-Discount</t>
        </is>
      </c>
      <c r="F663" t="n">
        <v>280.82</v>
      </c>
      <c r="G663" s="20" t="n">
        <v>3567</v>
      </c>
      <c r="H663" s="21" t="n">
        <v>65</v>
      </c>
      <c r="I663" s="21" t="n">
        <v>2</v>
      </c>
      <c r="J663" s="21" t="n">
        <v>1340.09</v>
      </c>
    </row>
    <row r="664">
      <c r="A664" s="19" t="n">
        <v>46300</v>
      </c>
      <c r="B664" t="inlineStr">
        <is>
          <t>Meta</t>
        </is>
      </c>
      <c r="C664" t="inlineStr">
        <is>
          <t>CAROUSEL | Best sellers</t>
        </is>
      </c>
      <c r="D664" t="inlineStr">
        <is>
          <t>Retargeting | 14d ATC</t>
        </is>
      </c>
      <c r="E664" t="inlineStr">
        <is>
          <t>Carousel-Bestsellers</t>
        </is>
      </c>
      <c r="F664" t="n">
        <v>193.23</v>
      </c>
      <c r="G664" s="20" t="n">
        <v>2454</v>
      </c>
      <c r="H664" s="21" t="n">
        <v>45</v>
      </c>
      <c r="I664" s="21" t="n">
        <v>2</v>
      </c>
      <c r="J664" s="21" t="n">
        <v>1448</v>
      </c>
    </row>
    <row r="665">
      <c r="A665" s="19" t="n">
        <v>46300</v>
      </c>
      <c r="B665" t="inlineStr">
        <is>
          <t>Meta</t>
        </is>
      </c>
      <c r="C665" t="inlineStr">
        <is>
          <t>VID | Founder story | v1</t>
        </is>
      </c>
      <c r="D665" t="inlineStr">
        <is>
          <t>Prospecting | Broad | EG</t>
        </is>
      </c>
      <c r="E665" t="inlineStr">
        <is>
          <t>UGC-Founder</t>
        </is>
      </c>
      <c r="F665" t="n">
        <v>141.66</v>
      </c>
      <c r="G665" s="20" t="n">
        <v>1799</v>
      </c>
      <c r="H665" s="21" t="n">
        <v>33</v>
      </c>
      <c r="I665" s="21" t="n">
        <v>0</v>
      </c>
      <c r="J665" s="21" t="n">
        <v>0</v>
      </c>
    </row>
    <row r="666">
      <c r="A666" s="19" t="n">
        <v>46301</v>
      </c>
      <c r="B666" t="inlineStr">
        <is>
          <t>Meta</t>
        </is>
      </c>
      <c r="C666" t="inlineStr">
        <is>
          <t>VID | Founder story | v4</t>
        </is>
      </c>
      <c r="D666" t="inlineStr">
        <is>
          <t>Prospecting | Broad | EG</t>
        </is>
      </c>
      <c r="E666" t="inlineStr">
        <is>
          <t>UGC-Founder</t>
        </is>
      </c>
      <c r="F666" t="n">
        <v>865.4299999999999</v>
      </c>
      <c r="G666" s="20" t="n">
        <v>11052</v>
      </c>
      <c r="H666" s="21" t="n">
        <v>179</v>
      </c>
      <c r="I666" s="21" t="n">
        <v>4</v>
      </c>
      <c r="J666" s="21" t="n">
        <v>2936</v>
      </c>
    </row>
    <row r="667">
      <c r="A667" s="19" t="n">
        <v>46301</v>
      </c>
      <c r="B667" t="inlineStr">
        <is>
          <t>Meta</t>
        </is>
      </c>
      <c r="C667" t="inlineStr">
        <is>
          <t>STATIC | Bundle offer | v2</t>
        </is>
      </c>
      <c r="D667" t="inlineStr">
        <is>
          <t>Prospecting | Broad | EG</t>
        </is>
      </c>
      <c r="E667" t="inlineStr">
        <is>
          <t>Static-Bundle</t>
        </is>
      </c>
      <c r="F667" t="n">
        <v>545.39</v>
      </c>
      <c r="G667" s="20" t="n">
        <v>6965</v>
      </c>
      <c r="H667" s="21" t="n">
        <v>113</v>
      </c>
      <c r="I667" s="21" t="n">
        <v>2</v>
      </c>
      <c r="J667" s="21" t="n">
        <v>1338.25</v>
      </c>
    </row>
    <row r="668">
      <c r="A668" s="19" t="n">
        <v>46301</v>
      </c>
      <c r="B668" t="inlineStr">
        <is>
          <t>Meta</t>
        </is>
      </c>
      <c r="C668" t="inlineStr">
        <is>
          <t>VID | Founder story | v3</t>
        </is>
      </c>
      <c r="D668" t="inlineStr">
        <is>
          <t>Prospecting | Broad | EG</t>
        </is>
      </c>
      <c r="E668" t="inlineStr">
        <is>
          <t>UGC-Founder</t>
        </is>
      </c>
      <c r="F668" t="n">
        <v>425.22</v>
      </c>
      <c r="G668" s="20" t="n">
        <v>5430</v>
      </c>
      <c r="H668" s="21" t="n">
        <v>88</v>
      </c>
      <c r="I668" s="21" t="n">
        <v>1</v>
      </c>
      <c r="J668" s="21" t="n">
        <v>688.66</v>
      </c>
    </row>
    <row r="669">
      <c r="A669" s="19" t="n">
        <v>46301</v>
      </c>
      <c r="B669" t="inlineStr">
        <is>
          <t>Meta</t>
        </is>
      </c>
      <c r="C669" t="inlineStr">
        <is>
          <t>VID | Review compilation | v1</t>
        </is>
      </c>
      <c r="D669" t="inlineStr">
        <is>
          <t>Prospecting | Interest | EG</t>
        </is>
      </c>
      <c r="E669" t="inlineStr">
        <is>
          <t>UGC-Reviews</t>
        </is>
      </c>
      <c r="F669" t="n">
        <v>404.47</v>
      </c>
      <c r="G669" s="20" t="n">
        <v>5165</v>
      </c>
      <c r="H669" s="21" t="n">
        <v>84</v>
      </c>
      <c r="I669" s="21" t="n">
        <v>1</v>
      </c>
      <c r="J669" s="21" t="n">
        <v>712.4299999999999</v>
      </c>
    </row>
    <row r="670">
      <c r="A670" s="19" t="n">
        <v>46301</v>
      </c>
      <c r="B670" t="inlineStr">
        <is>
          <t>Meta</t>
        </is>
      </c>
      <c r="C670" t="inlineStr">
        <is>
          <t>STATIC | Bundle offer | v1</t>
        </is>
      </c>
      <c r="D670" t="inlineStr">
        <is>
          <t>Test | Broad | EG</t>
        </is>
      </c>
      <c r="E670" t="inlineStr">
        <is>
          <t>Static-Bundle</t>
        </is>
      </c>
      <c r="F670" t="n">
        <v>243.35</v>
      </c>
      <c r="G670" s="20" t="n">
        <v>3108</v>
      </c>
      <c r="H670" s="21" t="n">
        <v>50</v>
      </c>
      <c r="I670" s="21" t="n">
        <v>1</v>
      </c>
      <c r="J670" s="21" t="n">
        <v>667.92</v>
      </c>
    </row>
    <row r="671">
      <c r="A671" s="19" t="n">
        <v>46301</v>
      </c>
      <c r="B671" t="inlineStr">
        <is>
          <t>Meta</t>
        </is>
      </c>
      <c r="C671" t="inlineStr">
        <is>
          <t>STATIC | Discount 20% | v1</t>
        </is>
      </c>
      <c r="D671" t="inlineStr">
        <is>
          <t>Retargeting | 7d IC</t>
        </is>
      </c>
      <c r="E671" t="inlineStr">
        <is>
          <t>Static-Discount</t>
        </is>
      </c>
      <c r="F671" t="n">
        <v>234.28</v>
      </c>
      <c r="G671" s="20" t="n">
        <v>2992</v>
      </c>
      <c r="H671" s="21" t="n">
        <v>48</v>
      </c>
      <c r="I671" s="21" t="n">
        <v>2</v>
      </c>
      <c r="J671" s="21" t="n">
        <v>1283.57</v>
      </c>
    </row>
    <row r="672">
      <c r="A672" s="19" t="n">
        <v>46301</v>
      </c>
      <c r="B672" t="inlineStr">
        <is>
          <t>Meta</t>
        </is>
      </c>
      <c r="C672" t="inlineStr">
        <is>
          <t>CAROUSEL | Best sellers</t>
        </is>
      </c>
      <c r="D672" t="inlineStr">
        <is>
          <t>Retargeting | 14d ATC</t>
        </is>
      </c>
      <c r="E672" t="inlineStr">
        <is>
          <t>Carousel-Bestsellers</t>
        </is>
      </c>
      <c r="F672" t="n">
        <v>154.5</v>
      </c>
      <c r="G672" s="20" t="n">
        <v>1973</v>
      </c>
      <c r="H672" s="21" t="n">
        <v>32</v>
      </c>
      <c r="I672" s="21" t="n">
        <v>1</v>
      </c>
      <c r="J672" s="21" t="n">
        <v>708.78</v>
      </c>
    </row>
    <row r="673">
      <c r="A673" s="19" t="n">
        <v>46301</v>
      </c>
      <c r="B673" t="inlineStr">
        <is>
          <t>Meta</t>
        </is>
      </c>
      <c r="C673" t="inlineStr">
        <is>
          <t>VID | Founder story | v1</t>
        </is>
      </c>
      <c r="D673" t="inlineStr">
        <is>
          <t>Prospecting | Broad | EG</t>
        </is>
      </c>
      <c r="E673" t="inlineStr">
        <is>
          <t>UGC-Founder</t>
        </is>
      </c>
      <c r="F673" t="n">
        <v>136.44</v>
      </c>
      <c r="G673" s="20" t="n">
        <v>1742</v>
      </c>
      <c r="H673" s="21" t="n">
        <v>28</v>
      </c>
      <c r="I673" s="21" t="n">
        <v>0</v>
      </c>
      <c r="J673" s="21" t="n">
        <v>0</v>
      </c>
    </row>
    <row r="674">
      <c r="A674" s="19" t="n">
        <v>46302</v>
      </c>
      <c r="B674" t="inlineStr">
        <is>
          <t>Meta</t>
        </is>
      </c>
      <c r="C674" t="inlineStr">
        <is>
          <t>VID | Founder story | v4</t>
        </is>
      </c>
      <c r="D674" t="inlineStr">
        <is>
          <t>Prospecting | Broad | EG</t>
        </is>
      </c>
      <c r="E674" t="inlineStr">
        <is>
          <t>UGC-Founder</t>
        </is>
      </c>
      <c r="F674" t="n">
        <v>941.17</v>
      </c>
      <c r="G674" s="20" t="n">
        <v>12068</v>
      </c>
      <c r="H674" s="21" t="n">
        <v>194</v>
      </c>
      <c r="I674" s="21" t="n">
        <v>4</v>
      </c>
      <c r="J674" s="21" t="n">
        <v>2443.12</v>
      </c>
    </row>
    <row r="675">
      <c r="A675" s="19" t="n">
        <v>46302</v>
      </c>
      <c r="B675" t="inlineStr">
        <is>
          <t>Meta</t>
        </is>
      </c>
      <c r="C675" t="inlineStr">
        <is>
          <t>STATIC | Bundle offer | v2</t>
        </is>
      </c>
      <c r="D675" t="inlineStr">
        <is>
          <t>Prospecting | Broad | EG</t>
        </is>
      </c>
      <c r="E675" t="inlineStr">
        <is>
          <t>Static-Bundle</t>
        </is>
      </c>
      <c r="F675" t="n">
        <v>614.58</v>
      </c>
      <c r="G675" s="20" t="n">
        <v>7880</v>
      </c>
      <c r="H675" s="21" t="n">
        <v>127</v>
      </c>
      <c r="I675" s="21" t="n">
        <v>2</v>
      </c>
      <c r="J675" s="21" t="n">
        <v>1307.03</v>
      </c>
    </row>
    <row r="676">
      <c r="A676" s="19" t="n">
        <v>46302</v>
      </c>
      <c r="B676" t="inlineStr">
        <is>
          <t>Meta</t>
        </is>
      </c>
      <c r="C676" t="inlineStr">
        <is>
          <t>VID | Founder story | v3</t>
        </is>
      </c>
      <c r="D676" t="inlineStr">
        <is>
          <t>Prospecting | Broad | EG</t>
        </is>
      </c>
      <c r="E676" t="inlineStr">
        <is>
          <t>UGC-Founder</t>
        </is>
      </c>
      <c r="F676" t="n">
        <v>480.81</v>
      </c>
      <c r="G676" s="20" t="n">
        <v>6165</v>
      </c>
      <c r="H676" s="21" t="n">
        <v>99</v>
      </c>
      <c r="I676" s="21" t="n">
        <v>2</v>
      </c>
      <c r="J676" s="21" t="n">
        <v>1403.42</v>
      </c>
    </row>
    <row r="677">
      <c r="A677" s="19" t="n">
        <v>46302</v>
      </c>
      <c r="B677" t="inlineStr">
        <is>
          <t>Meta</t>
        </is>
      </c>
      <c r="C677" t="inlineStr">
        <is>
          <t>VID | Review compilation | v1</t>
        </is>
      </c>
      <c r="D677" t="inlineStr">
        <is>
          <t>Prospecting | Interest | EG</t>
        </is>
      </c>
      <c r="E677" t="inlineStr">
        <is>
          <t>UGC-Reviews</t>
        </is>
      </c>
      <c r="F677" t="n">
        <v>458.27</v>
      </c>
      <c r="G677" s="20" t="n">
        <v>5876</v>
      </c>
      <c r="H677" s="21" t="n">
        <v>94</v>
      </c>
      <c r="I677" s="21" t="n">
        <v>2</v>
      </c>
      <c r="J677" s="21" t="n">
        <v>1385.03</v>
      </c>
    </row>
    <row r="678">
      <c r="A678" s="19" t="n">
        <v>46302</v>
      </c>
      <c r="B678" t="inlineStr">
        <is>
          <t>Meta</t>
        </is>
      </c>
      <c r="C678" t="inlineStr">
        <is>
          <t>STATIC | Bundle offer | v1</t>
        </is>
      </c>
      <c r="D678" t="inlineStr">
        <is>
          <t>Test | Broad | EG</t>
        </is>
      </c>
      <c r="E678" t="inlineStr">
        <is>
          <t>Static-Bundle</t>
        </is>
      </c>
      <c r="F678" t="n">
        <v>302.2</v>
      </c>
      <c r="G678" s="20" t="n">
        <v>3875</v>
      </c>
      <c r="H678" s="21" t="n">
        <v>62</v>
      </c>
      <c r="I678" s="21" t="n">
        <v>1</v>
      </c>
      <c r="J678" s="21" t="n">
        <v>681.42</v>
      </c>
    </row>
    <row r="679">
      <c r="A679" s="19" t="n">
        <v>46302</v>
      </c>
      <c r="B679" t="inlineStr">
        <is>
          <t>Meta</t>
        </is>
      </c>
      <c r="C679" t="inlineStr">
        <is>
          <t>STATIC | Discount 20% | v1</t>
        </is>
      </c>
      <c r="D679" t="inlineStr">
        <is>
          <t>Retargeting | 7d IC</t>
        </is>
      </c>
      <c r="E679" t="inlineStr">
        <is>
          <t>Static-Discount</t>
        </is>
      </c>
      <c r="F679" t="n">
        <v>238.24</v>
      </c>
      <c r="G679" s="20" t="n">
        <v>3055</v>
      </c>
      <c r="H679" s="21" t="n">
        <v>49</v>
      </c>
      <c r="I679" s="21" t="n">
        <v>2</v>
      </c>
      <c r="J679" s="21" t="n">
        <v>1262</v>
      </c>
    </row>
    <row r="680">
      <c r="A680" s="19" t="n">
        <v>46302</v>
      </c>
      <c r="B680" t="inlineStr">
        <is>
          <t>Meta</t>
        </is>
      </c>
      <c r="C680" t="inlineStr">
        <is>
          <t>CAROUSEL | Best sellers</t>
        </is>
      </c>
      <c r="D680" t="inlineStr">
        <is>
          <t>Retargeting | 14d ATC</t>
        </is>
      </c>
      <c r="E680" t="inlineStr">
        <is>
          <t>Carousel-Bestsellers</t>
        </is>
      </c>
      <c r="F680" t="n">
        <v>159.62</v>
      </c>
      <c r="G680" s="20" t="n">
        <v>2047</v>
      </c>
      <c r="H680" s="21" t="n">
        <v>33</v>
      </c>
      <c r="I680" s="21" t="n">
        <v>1</v>
      </c>
      <c r="J680" s="21" t="n">
        <v>654.05</v>
      </c>
    </row>
    <row r="681">
      <c r="A681" s="19" t="n">
        <v>46302</v>
      </c>
      <c r="B681" t="inlineStr">
        <is>
          <t>Meta</t>
        </is>
      </c>
      <c r="C681" t="inlineStr">
        <is>
          <t>VID | Founder story | v1</t>
        </is>
      </c>
      <c r="D681" t="inlineStr">
        <is>
          <t>Prospecting | Broad | EG</t>
        </is>
      </c>
      <c r="E681" t="inlineStr">
        <is>
          <t>UGC-Founder</t>
        </is>
      </c>
      <c r="F681" t="n">
        <v>140.49</v>
      </c>
      <c r="G681" s="20" t="n">
        <v>1801</v>
      </c>
      <c r="H681" s="21" t="n">
        <v>29</v>
      </c>
      <c r="I681" s="21" t="n">
        <v>0</v>
      </c>
      <c r="J681" s="21" t="n">
        <v>0</v>
      </c>
    </row>
    <row r="682">
      <c r="A682" s="19" t="n">
        <v>46303</v>
      </c>
      <c r="B682" t="inlineStr">
        <is>
          <t>Meta</t>
        </is>
      </c>
      <c r="C682" t="inlineStr">
        <is>
          <t>VID | Founder story | v4</t>
        </is>
      </c>
      <c r="D682" t="inlineStr">
        <is>
          <t>Prospecting | Broad | EG</t>
        </is>
      </c>
      <c r="E682" t="inlineStr">
        <is>
          <t>UGC-Founder</t>
        </is>
      </c>
      <c r="F682" t="n">
        <v>890.3</v>
      </c>
      <c r="G682" s="20" t="n">
        <v>11286</v>
      </c>
      <c r="H682" s="21" t="n">
        <v>171</v>
      </c>
      <c r="I682" s="21" t="n">
        <v>3</v>
      </c>
      <c r="J682" s="21" t="n">
        <v>2037.61</v>
      </c>
    </row>
    <row r="683">
      <c r="A683" s="19" t="n">
        <v>46303</v>
      </c>
      <c r="B683" t="inlineStr">
        <is>
          <t>Meta</t>
        </is>
      </c>
      <c r="C683" t="inlineStr">
        <is>
          <t>STATIC | Bundle offer | v2</t>
        </is>
      </c>
      <c r="D683" t="inlineStr">
        <is>
          <t>Prospecting | Broad | EG</t>
        </is>
      </c>
      <c r="E683" t="inlineStr">
        <is>
          <t>Static-Bundle</t>
        </is>
      </c>
      <c r="F683" t="n">
        <v>557.0700000000001</v>
      </c>
      <c r="G683" s="20" t="n">
        <v>7062</v>
      </c>
      <c r="H683" s="21" t="n">
        <v>107</v>
      </c>
      <c r="I683" s="21" t="n">
        <v>2</v>
      </c>
      <c r="J683" s="21" t="n">
        <v>1490.38</v>
      </c>
    </row>
    <row r="684">
      <c r="A684" s="19" t="n">
        <v>46303</v>
      </c>
      <c r="B684" t="inlineStr">
        <is>
          <t>Meta</t>
        </is>
      </c>
      <c r="C684" t="inlineStr">
        <is>
          <t>VID | Founder story | v3</t>
        </is>
      </c>
      <c r="D684" t="inlineStr">
        <is>
          <t>Prospecting | Broad | EG</t>
        </is>
      </c>
      <c r="E684" t="inlineStr">
        <is>
          <t>UGC-Founder</t>
        </is>
      </c>
      <c r="F684" t="n">
        <v>452.07</v>
      </c>
      <c r="G684" s="20" t="n">
        <v>5731</v>
      </c>
      <c r="H684" s="21" t="n">
        <v>87</v>
      </c>
      <c r="I684" s="21" t="n">
        <v>1</v>
      </c>
      <c r="J684" s="21" t="n">
        <v>617.72</v>
      </c>
    </row>
    <row r="685">
      <c r="A685" s="19" t="n">
        <v>46303</v>
      </c>
      <c r="B685" t="inlineStr">
        <is>
          <t>Meta</t>
        </is>
      </c>
      <c r="C685" t="inlineStr">
        <is>
          <t>VID | Review compilation | v1</t>
        </is>
      </c>
      <c r="D685" t="inlineStr">
        <is>
          <t>Prospecting | Interest | EG</t>
        </is>
      </c>
      <c r="E685" t="inlineStr">
        <is>
          <t>UGC-Reviews</t>
        </is>
      </c>
      <c r="F685" t="n">
        <v>484.91</v>
      </c>
      <c r="G685" s="20" t="n">
        <v>6147</v>
      </c>
      <c r="H685" s="21" t="n">
        <v>93</v>
      </c>
      <c r="I685" s="21" t="n">
        <v>1</v>
      </c>
      <c r="J685" s="21" t="n">
        <v>686.49</v>
      </c>
    </row>
    <row r="686">
      <c r="A686" s="19" t="n">
        <v>46303</v>
      </c>
      <c r="B686" t="inlineStr">
        <is>
          <t>Meta</t>
        </is>
      </c>
      <c r="C686" t="inlineStr">
        <is>
          <t>STATIC | Bundle offer | v1</t>
        </is>
      </c>
      <c r="D686" t="inlineStr">
        <is>
          <t>Test | Broad | EG</t>
        </is>
      </c>
      <c r="E686" t="inlineStr">
        <is>
          <t>Static-Bundle</t>
        </is>
      </c>
      <c r="F686" t="n">
        <v>259.1</v>
      </c>
      <c r="G686" s="20" t="n">
        <v>3285</v>
      </c>
      <c r="H686" s="21" t="n">
        <v>50</v>
      </c>
      <c r="I686" s="21" t="n">
        <v>1</v>
      </c>
      <c r="J686" s="21" t="n">
        <v>634.42</v>
      </c>
    </row>
    <row r="687">
      <c r="A687" s="19" t="n">
        <v>46303</v>
      </c>
      <c r="B687" t="inlineStr">
        <is>
          <t>Meta</t>
        </is>
      </c>
      <c r="C687" t="inlineStr">
        <is>
          <t>STATIC | Discount 20% | v1</t>
        </is>
      </c>
      <c r="D687" t="inlineStr">
        <is>
          <t>Retargeting | 7d IC</t>
        </is>
      </c>
      <c r="E687" t="inlineStr">
        <is>
          <t>Static-Discount</t>
        </is>
      </c>
      <c r="F687" t="n">
        <v>249.66</v>
      </c>
      <c r="G687" s="20" t="n">
        <v>3165</v>
      </c>
      <c r="H687" s="21" t="n">
        <v>48</v>
      </c>
      <c r="I687" s="21" t="n">
        <v>1</v>
      </c>
      <c r="J687" s="21" t="n">
        <v>718.9400000000001</v>
      </c>
    </row>
    <row r="688">
      <c r="A688" s="19" t="n">
        <v>46303</v>
      </c>
      <c r="B688" t="inlineStr">
        <is>
          <t>Meta</t>
        </is>
      </c>
      <c r="C688" t="inlineStr">
        <is>
          <t>CAROUSEL | Best sellers</t>
        </is>
      </c>
      <c r="D688" t="inlineStr">
        <is>
          <t>Retargeting | 14d ATC</t>
        </is>
      </c>
      <c r="E688" t="inlineStr">
        <is>
          <t>Carousel-Bestsellers</t>
        </is>
      </c>
      <c r="F688" t="n">
        <v>180.96</v>
      </c>
      <c r="G688" s="20" t="n">
        <v>2294</v>
      </c>
      <c r="H688" s="21" t="n">
        <v>35</v>
      </c>
      <c r="I688" s="21" t="n">
        <v>1</v>
      </c>
      <c r="J688" s="21" t="n">
        <v>740.5599999999999</v>
      </c>
    </row>
    <row r="689">
      <c r="A689" s="19" t="n">
        <v>46303</v>
      </c>
      <c r="B689" t="inlineStr">
        <is>
          <t>Meta</t>
        </is>
      </c>
      <c r="C689" t="inlineStr">
        <is>
          <t>VID | Founder story | v1</t>
        </is>
      </c>
      <c r="D689" t="inlineStr">
        <is>
          <t>Prospecting | Broad | EG</t>
        </is>
      </c>
      <c r="E689" t="inlineStr">
        <is>
          <t>UGC-Founder</t>
        </is>
      </c>
      <c r="F689" t="n">
        <v>129.16</v>
      </c>
      <c r="G689" s="20" t="n">
        <v>1637</v>
      </c>
      <c r="H689" s="21" t="n">
        <v>25</v>
      </c>
      <c r="I689" s="21" t="n">
        <v>0</v>
      </c>
      <c r="J689" s="21" t="n">
        <v>0</v>
      </c>
    </row>
    <row r="690">
      <c r="A690" s="19" t="n">
        <v>46304</v>
      </c>
      <c r="B690" t="inlineStr">
        <is>
          <t>Meta</t>
        </is>
      </c>
      <c r="C690" t="inlineStr">
        <is>
          <t>VID | Founder story | v4</t>
        </is>
      </c>
      <c r="D690" t="inlineStr">
        <is>
          <t>Prospecting | Broad | EG</t>
        </is>
      </c>
      <c r="E690" t="inlineStr">
        <is>
          <t>UGC-Founder</t>
        </is>
      </c>
      <c r="F690" t="n">
        <v>806.33</v>
      </c>
      <c r="G690" s="20" t="n">
        <v>9652</v>
      </c>
      <c r="H690" s="21" t="n">
        <v>155</v>
      </c>
      <c r="I690" s="21" t="n">
        <v>3</v>
      </c>
      <c r="J690" s="21" t="n">
        <v>2178.7</v>
      </c>
    </row>
    <row r="691">
      <c r="A691" s="19" t="n">
        <v>46304</v>
      </c>
      <c r="B691" t="inlineStr">
        <is>
          <t>Meta</t>
        </is>
      </c>
      <c r="C691" t="inlineStr">
        <is>
          <t>STATIC | Bundle offer | v2</t>
        </is>
      </c>
      <c r="D691" t="inlineStr">
        <is>
          <t>Prospecting | Broad | EG</t>
        </is>
      </c>
      <c r="E691" t="inlineStr">
        <is>
          <t>Static-Bundle</t>
        </is>
      </c>
      <c r="F691" t="n">
        <v>624.29</v>
      </c>
      <c r="G691" s="20" t="n">
        <v>7473</v>
      </c>
      <c r="H691" s="21" t="n">
        <v>120</v>
      </c>
      <c r="I691" s="21" t="n">
        <v>2</v>
      </c>
      <c r="J691" s="21" t="n">
        <v>1611.5</v>
      </c>
    </row>
    <row r="692">
      <c r="A692" s="19" t="n">
        <v>46304</v>
      </c>
      <c r="B692" t="inlineStr">
        <is>
          <t>Meta</t>
        </is>
      </c>
      <c r="C692" t="inlineStr">
        <is>
          <t>VID | Founder story | v3</t>
        </is>
      </c>
      <c r="D692" t="inlineStr">
        <is>
          <t>Prospecting | Broad | EG</t>
        </is>
      </c>
      <c r="E692" t="inlineStr">
        <is>
          <t>UGC-Founder</t>
        </is>
      </c>
      <c r="F692" t="n">
        <v>463.61</v>
      </c>
      <c r="G692" s="20" t="n">
        <v>5549</v>
      </c>
      <c r="H692" s="21" t="n">
        <v>89</v>
      </c>
      <c r="I692" s="21" t="n">
        <v>1</v>
      </c>
      <c r="J692" s="21" t="n">
        <v>696.62</v>
      </c>
    </row>
    <row r="693">
      <c r="A693" s="19" t="n">
        <v>46304</v>
      </c>
      <c r="B693" t="inlineStr">
        <is>
          <t>Meta</t>
        </is>
      </c>
      <c r="C693" t="inlineStr">
        <is>
          <t>VID | Review compilation | v1</t>
        </is>
      </c>
      <c r="D693" t="inlineStr">
        <is>
          <t>Prospecting | Interest | EG</t>
        </is>
      </c>
      <c r="E693" t="inlineStr">
        <is>
          <t>UGC-Reviews</t>
        </is>
      </c>
      <c r="F693" t="n">
        <v>487.83</v>
      </c>
      <c r="G693" s="20" t="n">
        <v>5839</v>
      </c>
      <c r="H693" s="21" t="n">
        <v>93</v>
      </c>
      <c r="I693" s="21" t="n">
        <v>1</v>
      </c>
      <c r="J693" s="21" t="n">
        <v>766.76</v>
      </c>
    </row>
    <row r="694">
      <c r="A694" s="19" t="n">
        <v>46304</v>
      </c>
      <c r="B694" t="inlineStr">
        <is>
          <t>Meta</t>
        </is>
      </c>
      <c r="C694" t="inlineStr">
        <is>
          <t>STATIC | Bundle offer | v1</t>
        </is>
      </c>
      <c r="D694" t="inlineStr">
        <is>
          <t>Test | Broad | EG</t>
        </is>
      </c>
      <c r="E694" t="inlineStr">
        <is>
          <t>Static-Bundle</t>
        </is>
      </c>
      <c r="F694" t="n">
        <v>306.43</v>
      </c>
      <c r="G694" s="20" t="n">
        <v>3668</v>
      </c>
      <c r="H694" s="21" t="n">
        <v>59</v>
      </c>
      <c r="I694" s="21" t="n">
        <v>1</v>
      </c>
      <c r="J694" s="21" t="n">
        <v>723.59</v>
      </c>
    </row>
    <row r="695">
      <c r="A695" s="19" t="n">
        <v>46304</v>
      </c>
      <c r="B695" t="inlineStr">
        <is>
          <t>Meta</t>
        </is>
      </c>
      <c r="C695" t="inlineStr">
        <is>
          <t>STATIC | Discount 20% | v1</t>
        </is>
      </c>
      <c r="D695" t="inlineStr">
        <is>
          <t>Retargeting | 7d IC</t>
        </is>
      </c>
      <c r="E695" t="inlineStr">
        <is>
          <t>Static-Discount</t>
        </is>
      </c>
      <c r="F695" t="n">
        <v>265.06</v>
      </c>
      <c r="G695" s="20" t="n">
        <v>3173</v>
      </c>
      <c r="H695" s="21" t="n">
        <v>51</v>
      </c>
      <c r="I695" s="21" t="n">
        <v>1</v>
      </c>
      <c r="J695" s="21" t="n">
        <v>778.35</v>
      </c>
    </row>
    <row r="696">
      <c r="A696" s="19" t="n">
        <v>46304</v>
      </c>
      <c r="B696" t="inlineStr">
        <is>
          <t>Meta</t>
        </is>
      </c>
      <c r="C696" t="inlineStr">
        <is>
          <t>CAROUSEL | Best sellers</t>
        </is>
      </c>
      <c r="D696" t="inlineStr">
        <is>
          <t>Retargeting | 14d ATC</t>
        </is>
      </c>
      <c r="E696" t="inlineStr">
        <is>
          <t>Carousel-Bestsellers</t>
        </is>
      </c>
      <c r="F696" t="n">
        <v>195.68</v>
      </c>
      <c r="G696" s="20" t="n">
        <v>2342</v>
      </c>
      <c r="H696" s="21" t="n">
        <v>37</v>
      </c>
      <c r="I696" s="21" t="n">
        <v>1</v>
      </c>
      <c r="J696" s="21" t="n">
        <v>683.65</v>
      </c>
    </row>
    <row r="697">
      <c r="A697" s="19" t="n">
        <v>46304</v>
      </c>
      <c r="B697" t="inlineStr">
        <is>
          <t>Meta</t>
        </is>
      </c>
      <c r="C697" t="inlineStr">
        <is>
          <t>VID | Founder story | v1</t>
        </is>
      </c>
      <c r="D697" t="inlineStr">
        <is>
          <t>Prospecting | Broad | EG</t>
        </is>
      </c>
      <c r="E697" t="inlineStr">
        <is>
          <t>UGC-Founder</t>
        </is>
      </c>
      <c r="F697" t="n">
        <v>143.41</v>
      </c>
      <c r="G697" s="20" t="n">
        <v>1717</v>
      </c>
      <c r="H697" s="21" t="n">
        <v>27</v>
      </c>
      <c r="I697" s="21" t="n">
        <v>0</v>
      </c>
      <c r="J697" s="21" t="n">
        <v>0</v>
      </c>
    </row>
    <row r="698">
      <c r="A698" s="19" t="n">
        <v>46305</v>
      </c>
      <c r="B698" t="inlineStr">
        <is>
          <t>Meta</t>
        </is>
      </c>
      <c r="C698" t="inlineStr">
        <is>
          <t>VID | Founder story | v4</t>
        </is>
      </c>
      <c r="D698" t="inlineStr">
        <is>
          <t>Prospecting | Broad | EG</t>
        </is>
      </c>
      <c r="E698" t="inlineStr">
        <is>
          <t>UGC-Founder</t>
        </is>
      </c>
      <c r="F698" t="n">
        <v>1025.63</v>
      </c>
      <c r="G698" s="20" t="n">
        <v>13341</v>
      </c>
      <c r="H698" s="21" t="n">
        <v>195</v>
      </c>
      <c r="I698" s="21" t="n">
        <v>4</v>
      </c>
      <c r="J698" s="21" t="n">
        <v>2842.71</v>
      </c>
    </row>
    <row r="699">
      <c r="A699" s="19" t="n">
        <v>46305</v>
      </c>
      <c r="B699" t="inlineStr">
        <is>
          <t>Meta</t>
        </is>
      </c>
      <c r="C699" t="inlineStr">
        <is>
          <t>STATIC | Bundle offer | v2</t>
        </is>
      </c>
      <c r="D699" t="inlineStr">
        <is>
          <t>Prospecting | Broad | EG</t>
        </is>
      </c>
      <c r="E699" t="inlineStr">
        <is>
          <t>Static-Bundle</t>
        </is>
      </c>
      <c r="F699" t="n">
        <v>619.67</v>
      </c>
      <c r="G699" s="20" t="n">
        <v>8060</v>
      </c>
      <c r="H699" s="21" t="n">
        <v>118</v>
      </c>
      <c r="I699" s="21" t="n">
        <v>2</v>
      </c>
      <c r="J699" s="21" t="n">
        <v>1395.88</v>
      </c>
    </row>
    <row r="700">
      <c r="A700" s="19" t="n">
        <v>46305</v>
      </c>
      <c r="B700" t="inlineStr">
        <is>
          <t>Meta</t>
        </is>
      </c>
      <c r="C700" t="inlineStr">
        <is>
          <t>VID | Founder story | v3</t>
        </is>
      </c>
      <c r="D700" t="inlineStr">
        <is>
          <t>Prospecting | Broad | EG</t>
        </is>
      </c>
      <c r="E700" t="inlineStr">
        <is>
          <t>UGC-Founder</t>
        </is>
      </c>
      <c r="F700" t="n">
        <v>499.77</v>
      </c>
      <c r="G700" s="20" t="n">
        <v>6501</v>
      </c>
      <c r="H700" s="21" t="n">
        <v>95</v>
      </c>
      <c r="I700" s="21" t="n">
        <v>2</v>
      </c>
      <c r="J700" s="21" t="n">
        <v>1383.95</v>
      </c>
    </row>
    <row r="701">
      <c r="A701" s="19" t="n">
        <v>46305</v>
      </c>
      <c r="B701" t="inlineStr">
        <is>
          <t>Meta</t>
        </is>
      </c>
      <c r="C701" t="inlineStr">
        <is>
          <t>VID | Review compilation | v1</t>
        </is>
      </c>
      <c r="D701" t="inlineStr">
        <is>
          <t>Prospecting | Interest | EG</t>
        </is>
      </c>
      <c r="E701" t="inlineStr">
        <is>
          <t>UGC-Reviews</t>
        </is>
      </c>
      <c r="F701" t="n">
        <v>519.9299999999999</v>
      </c>
      <c r="G701" s="20" t="n">
        <v>6763</v>
      </c>
      <c r="H701" s="21" t="n">
        <v>99</v>
      </c>
      <c r="I701" s="21" t="n">
        <v>2</v>
      </c>
      <c r="J701" s="21" t="n">
        <v>1535.41</v>
      </c>
    </row>
    <row r="702">
      <c r="A702" s="19" t="n">
        <v>46305</v>
      </c>
      <c r="B702" t="inlineStr">
        <is>
          <t>Meta</t>
        </is>
      </c>
      <c r="C702" t="inlineStr">
        <is>
          <t>STATIC | Bundle offer | v1</t>
        </is>
      </c>
      <c r="D702" t="inlineStr">
        <is>
          <t>Test | Broad | EG</t>
        </is>
      </c>
      <c r="E702" t="inlineStr">
        <is>
          <t>Static-Bundle</t>
        </is>
      </c>
      <c r="F702" t="n">
        <v>305.19</v>
      </c>
      <c r="G702" s="20" t="n">
        <v>3970</v>
      </c>
      <c r="H702" s="21" t="n">
        <v>58</v>
      </c>
      <c r="I702" s="21" t="n">
        <v>1</v>
      </c>
      <c r="J702" s="21" t="n">
        <v>796.77</v>
      </c>
    </row>
    <row r="703">
      <c r="A703" s="19" t="n">
        <v>46305</v>
      </c>
      <c r="B703" t="inlineStr">
        <is>
          <t>Meta</t>
        </is>
      </c>
      <c r="C703" t="inlineStr">
        <is>
          <t>STATIC | Discount 20% | v1</t>
        </is>
      </c>
      <c r="D703" t="inlineStr">
        <is>
          <t>Retargeting | 7d IC</t>
        </is>
      </c>
      <c r="E703" t="inlineStr">
        <is>
          <t>Static-Discount</t>
        </is>
      </c>
      <c r="F703" t="n">
        <v>290.54</v>
      </c>
      <c r="G703" s="20" t="n">
        <v>3779</v>
      </c>
      <c r="H703" s="21" t="n">
        <v>55</v>
      </c>
      <c r="I703" s="21" t="n">
        <v>2</v>
      </c>
      <c r="J703" s="21" t="n">
        <v>1472.6</v>
      </c>
    </row>
    <row r="704">
      <c r="A704" s="19" t="n">
        <v>46305</v>
      </c>
      <c r="B704" t="inlineStr">
        <is>
          <t>Meta</t>
        </is>
      </c>
      <c r="C704" t="inlineStr">
        <is>
          <t>CAROUSEL | Best sellers</t>
        </is>
      </c>
      <c r="D704" t="inlineStr">
        <is>
          <t>Retargeting | 14d ATC</t>
        </is>
      </c>
      <c r="E704" t="inlineStr">
        <is>
          <t>Carousel-Bestsellers</t>
        </is>
      </c>
      <c r="F704" t="n">
        <v>203.5</v>
      </c>
      <c r="G704" s="20" t="n">
        <v>2647</v>
      </c>
      <c r="H704" s="21" t="n">
        <v>39</v>
      </c>
      <c r="I704" s="21" t="n">
        <v>2</v>
      </c>
      <c r="J704" s="21" t="n">
        <v>1382.33</v>
      </c>
    </row>
    <row r="705">
      <c r="A705" s="19" t="n">
        <v>46305</v>
      </c>
      <c r="B705" t="inlineStr">
        <is>
          <t>Meta</t>
        </is>
      </c>
      <c r="C705" t="inlineStr">
        <is>
          <t>VID | Founder story | v1</t>
        </is>
      </c>
      <c r="D705" t="inlineStr">
        <is>
          <t>Prospecting | Broad | EG</t>
        </is>
      </c>
      <c r="E705" t="inlineStr">
        <is>
          <t>UGC-Founder</t>
        </is>
      </c>
      <c r="F705" t="n">
        <v>176.69</v>
      </c>
      <c r="G705" s="20" t="n">
        <v>2298</v>
      </c>
      <c r="H705" s="21" t="n">
        <v>34</v>
      </c>
      <c r="I705" s="21" t="n">
        <v>0</v>
      </c>
      <c r="J705" s="21" t="n">
        <v>0</v>
      </c>
    </row>
    <row r="706">
      <c r="A706" s="19" t="n">
        <v>46306</v>
      </c>
      <c r="B706" t="inlineStr">
        <is>
          <t>Meta</t>
        </is>
      </c>
      <c r="C706" t="inlineStr">
        <is>
          <t>VID | Founder story | v4</t>
        </is>
      </c>
      <c r="D706" t="inlineStr">
        <is>
          <t>Prospecting | Broad | EG</t>
        </is>
      </c>
      <c r="E706" t="inlineStr">
        <is>
          <t>UGC-Founder</t>
        </is>
      </c>
      <c r="F706" t="n">
        <v>922.16</v>
      </c>
      <c r="G706" s="20" t="n">
        <v>11424</v>
      </c>
      <c r="H706" s="21" t="n">
        <v>198</v>
      </c>
      <c r="I706" s="21" t="n">
        <v>3</v>
      </c>
      <c r="J706" s="21" t="n">
        <v>1833.03</v>
      </c>
    </row>
    <row r="707">
      <c r="A707" s="19" t="n">
        <v>46306</v>
      </c>
      <c r="B707" t="inlineStr">
        <is>
          <t>Meta</t>
        </is>
      </c>
      <c r="C707" t="inlineStr">
        <is>
          <t>STATIC | Bundle offer | v2</t>
        </is>
      </c>
      <c r="D707" t="inlineStr">
        <is>
          <t>Prospecting | Broad | EG</t>
        </is>
      </c>
      <c r="E707" t="inlineStr">
        <is>
          <t>Static-Bundle</t>
        </is>
      </c>
      <c r="F707" t="n">
        <v>580.47</v>
      </c>
      <c r="G707" s="20" t="n">
        <v>7191</v>
      </c>
      <c r="H707" s="21" t="n">
        <v>125</v>
      </c>
      <c r="I707" s="21" t="n">
        <v>2</v>
      </c>
      <c r="J707" s="21" t="n">
        <v>1412.82</v>
      </c>
    </row>
    <row r="708">
      <c r="A708" s="19" t="n">
        <v>46306</v>
      </c>
      <c r="B708" t="inlineStr">
        <is>
          <t>Meta</t>
        </is>
      </c>
      <c r="C708" t="inlineStr">
        <is>
          <t>VID | Founder story | v3</t>
        </is>
      </c>
      <c r="D708" t="inlineStr">
        <is>
          <t>Prospecting | Broad | EG</t>
        </is>
      </c>
      <c r="E708" t="inlineStr">
        <is>
          <t>UGC-Founder</t>
        </is>
      </c>
      <c r="F708" t="n">
        <v>423.53</v>
      </c>
      <c r="G708" s="20" t="n">
        <v>5247</v>
      </c>
      <c r="H708" s="21" t="n">
        <v>91</v>
      </c>
      <c r="I708" s="21" t="n">
        <v>1</v>
      </c>
      <c r="J708" s="21" t="n">
        <v>627.45</v>
      </c>
    </row>
    <row r="709">
      <c r="A709" s="19" t="n">
        <v>46306</v>
      </c>
      <c r="B709" t="inlineStr">
        <is>
          <t>Meta</t>
        </is>
      </c>
      <c r="C709" t="inlineStr">
        <is>
          <t>VID | Review compilation | v1</t>
        </is>
      </c>
      <c r="D709" t="inlineStr">
        <is>
          <t>Prospecting | Interest | EG</t>
        </is>
      </c>
      <c r="E709" t="inlineStr">
        <is>
          <t>UGC-Reviews</t>
        </is>
      </c>
      <c r="F709" t="n">
        <v>516.0700000000001</v>
      </c>
      <c r="G709" s="20" t="n">
        <v>6393</v>
      </c>
      <c r="H709" s="21" t="n">
        <v>111</v>
      </c>
      <c r="I709" s="21" t="n">
        <v>2</v>
      </c>
      <c r="J709" s="21" t="n">
        <v>1328.76</v>
      </c>
    </row>
    <row r="710">
      <c r="A710" s="19" t="n">
        <v>46306</v>
      </c>
      <c r="B710" t="inlineStr">
        <is>
          <t>Meta</t>
        </is>
      </c>
      <c r="C710" t="inlineStr">
        <is>
          <t>STATIC | Bundle offer | v1</t>
        </is>
      </c>
      <c r="D710" t="inlineStr">
        <is>
          <t>Test | Broad | EG</t>
        </is>
      </c>
      <c r="E710" t="inlineStr">
        <is>
          <t>Static-Bundle</t>
        </is>
      </c>
      <c r="F710" t="n">
        <v>347.19</v>
      </c>
      <c r="G710" s="20" t="n">
        <v>4301</v>
      </c>
      <c r="H710" s="21" t="n">
        <v>75</v>
      </c>
      <c r="I710" s="21" t="n">
        <v>1</v>
      </c>
      <c r="J710" s="21" t="n">
        <v>687.65</v>
      </c>
    </row>
    <row r="711">
      <c r="A711" s="19" t="n">
        <v>46306</v>
      </c>
      <c r="B711" t="inlineStr">
        <is>
          <t>Meta</t>
        </is>
      </c>
      <c r="C711" t="inlineStr">
        <is>
          <t>STATIC | Discount 20% | v1</t>
        </is>
      </c>
      <c r="D711" t="inlineStr">
        <is>
          <t>Retargeting | 7d IC</t>
        </is>
      </c>
      <c r="E711" t="inlineStr">
        <is>
          <t>Static-Discount</t>
        </is>
      </c>
      <c r="F711" t="n">
        <v>275.4</v>
      </c>
      <c r="G711" s="20" t="n">
        <v>3412</v>
      </c>
      <c r="H711" s="21" t="n">
        <v>59</v>
      </c>
      <c r="I711" s="21" t="n">
        <v>2</v>
      </c>
      <c r="J711" s="21" t="n">
        <v>1374.63</v>
      </c>
    </row>
    <row r="712">
      <c r="A712" s="19" t="n">
        <v>46306</v>
      </c>
      <c r="B712" t="inlineStr">
        <is>
          <t>Meta</t>
        </is>
      </c>
      <c r="C712" t="inlineStr">
        <is>
          <t>CAROUSEL | Best sellers</t>
        </is>
      </c>
      <c r="D712" t="inlineStr">
        <is>
          <t>Retargeting | 14d ATC</t>
        </is>
      </c>
      <c r="E712" t="inlineStr">
        <is>
          <t>Carousel-Bestsellers</t>
        </is>
      </c>
      <c r="F712" t="n">
        <v>183.6</v>
      </c>
      <c r="G712" s="20" t="n">
        <v>2275</v>
      </c>
      <c r="H712" s="21" t="n">
        <v>39</v>
      </c>
      <c r="I712" s="21" t="n">
        <v>1</v>
      </c>
      <c r="J712" s="21" t="n">
        <v>642.3099999999999</v>
      </c>
    </row>
    <row r="713">
      <c r="A713" s="19" t="n">
        <v>46306</v>
      </c>
      <c r="B713" t="inlineStr">
        <is>
          <t>Meta</t>
        </is>
      </c>
      <c r="C713" t="inlineStr">
        <is>
          <t>VID | Founder story | v1</t>
        </is>
      </c>
      <c r="D713" t="inlineStr">
        <is>
          <t>Prospecting | Broad | EG</t>
        </is>
      </c>
      <c r="E713" t="inlineStr">
        <is>
          <t>UGC-Founder</t>
        </is>
      </c>
      <c r="F713" t="n">
        <v>151.01</v>
      </c>
      <c r="G713" s="20" t="n">
        <v>1871</v>
      </c>
      <c r="H713" s="21" t="n">
        <v>32</v>
      </c>
      <c r="I713" s="21" t="n">
        <v>0</v>
      </c>
      <c r="J713" s="21" t="n">
        <v>0</v>
      </c>
    </row>
    <row r="714">
      <c r="A714" s="19" t="n">
        <v>46307</v>
      </c>
      <c r="B714" t="inlineStr">
        <is>
          <t>Meta</t>
        </is>
      </c>
      <c r="C714" t="inlineStr">
        <is>
          <t>VID | Founder story | v4</t>
        </is>
      </c>
      <c r="D714" t="inlineStr">
        <is>
          <t>Prospecting | Broad | EG</t>
        </is>
      </c>
      <c r="E714" t="inlineStr">
        <is>
          <t>UGC-Founder</t>
        </is>
      </c>
      <c r="F714" t="n">
        <v>862.35</v>
      </c>
      <c r="G714" s="20" t="n">
        <v>10647</v>
      </c>
      <c r="H714" s="21" t="n">
        <v>167</v>
      </c>
      <c r="I714" s="21" t="n">
        <v>4</v>
      </c>
      <c r="J714" s="21" t="n">
        <v>2755.14</v>
      </c>
    </row>
    <row r="715">
      <c r="A715" s="19" t="n">
        <v>46307</v>
      </c>
      <c r="B715" t="inlineStr">
        <is>
          <t>Meta</t>
        </is>
      </c>
      <c r="C715" t="inlineStr">
        <is>
          <t>STATIC | Bundle offer | v2</t>
        </is>
      </c>
      <c r="D715" t="inlineStr">
        <is>
          <t>Prospecting | Broad | EG</t>
        </is>
      </c>
      <c r="E715" t="inlineStr">
        <is>
          <t>Static-Bundle</t>
        </is>
      </c>
      <c r="F715" t="n">
        <v>502.97</v>
      </c>
      <c r="G715" s="20" t="n">
        <v>6210</v>
      </c>
      <c r="H715" s="21" t="n">
        <v>97</v>
      </c>
      <c r="I715" s="21" t="n">
        <v>2</v>
      </c>
      <c r="J715" s="21" t="n">
        <v>1310.4</v>
      </c>
    </row>
    <row r="716">
      <c r="A716" s="19" t="n">
        <v>46307</v>
      </c>
      <c r="B716" t="inlineStr">
        <is>
          <t>Meta</t>
        </is>
      </c>
      <c r="C716" t="inlineStr">
        <is>
          <t>VID | Founder story | v3</t>
        </is>
      </c>
      <c r="D716" t="inlineStr">
        <is>
          <t>Prospecting | Broad | EG</t>
        </is>
      </c>
      <c r="E716" t="inlineStr">
        <is>
          <t>UGC-Founder</t>
        </is>
      </c>
      <c r="F716" t="n">
        <v>467.57</v>
      </c>
      <c r="G716" s="20" t="n">
        <v>5773</v>
      </c>
      <c r="H716" s="21" t="n">
        <v>90</v>
      </c>
      <c r="I716" s="21" t="n">
        <v>2</v>
      </c>
      <c r="J716" s="21" t="n">
        <v>1259.17</v>
      </c>
    </row>
    <row r="717">
      <c r="A717" s="19" t="n">
        <v>46307</v>
      </c>
      <c r="B717" t="inlineStr">
        <is>
          <t>Meta</t>
        </is>
      </c>
      <c r="C717" t="inlineStr">
        <is>
          <t>VID | Review compilation | v1</t>
        </is>
      </c>
      <c r="D717" t="inlineStr">
        <is>
          <t>Prospecting | Interest | EG</t>
        </is>
      </c>
      <c r="E717" t="inlineStr">
        <is>
          <t>UGC-Reviews</t>
        </is>
      </c>
      <c r="F717" t="n">
        <v>406.5</v>
      </c>
      <c r="G717" s="20" t="n">
        <v>5019</v>
      </c>
      <c r="H717" s="21" t="n">
        <v>79</v>
      </c>
      <c r="I717" s="21" t="n">
        <v>2</v>
      </c>
      <c r="J717" s="21" t="n">
        <v>1460.26</v>
      </c>
    </row>
    <row r="718">
      <c r="A718" s="19" t="n">
        <v>46307</v>
      </c>
      <c r="B718" t="inlineStr">
        <is>
          <t>Meta</t>
        </is>
      </c>
      <c r="C718" t="inlineStr">
        <is>
          <t>STATIC | Bundle offer | v1</t>
        </is>
      </c>
      <c r="D718" t="inlineStr">
        <is>
          <t>Test | Broad | EG</t>
        </is>
      </c>
      <c r="E718" t="inlineStr">
        <is>
          <t>Static-Bundle</t>
        </is>
      </c>
      <c r="F718" t="n">
        <v>313.15</v>
      </c>
      <c r="G718" s="20" t="n">
        <v>3866</v>
      </c>
      <c r="H718" s="21" t="n">
        <v>61</v>
      </c>
      <c r="I718" s="21" t="n">
        <v>1</v>
      </c>
      <c r="J718" s="21" t="n">
        <v>668.53</v>
      </c>
    </row>
    <row r="719">
      <c r="A719" s="19" t="n">
        <v>46307</v>
      </c>
      <c r="B719" t="inlineStr">
        <is>
          <t>Meta</t>
        </is>
      </c>
      <c r="C719" t="inlineStr">
        <is>
          <t>STATIC | Discount 20% | v1</t>
        </is>
      </c>
      <c r="D719" t="inlineStr">
        <is>
          <t>Retargeting | 7d IC</t>
        </is>
      </c>
      <c r="E719" t="inlineStr">
        <is>
          <t>Static-Discount</t>
        </is>
      </c>
      <c r="F719" t="n">
        <v>219.65</v>
      </c>
      <c r="G719" s="20" t="n">
        <v>2712</v>
      </c>
      <c r="H719" s="21" t="n">
        <v>42</v>
      </c>
      <c r="I719" s="21" t="n">
        <v>1</v>
      </c>
      <c r="J719" s="21" t="n">
        <v>663.46</v>
      </c>
    </row>
    <row r="720">
      <c r="A720" s="19" t="n">
        <v>46307</v>
      </c>
      <c r="B720" t="inlineStr">
        <is>
          <t>Meta</t>
        </is>
      </c>
      <c r="C720" t="inlineStr">
        <is>
          <t>CAROUSEL | Best sellers</t>
        </is>
      </c>
      <c r="D720" t="inlineStr">
        <is>
          <t>Retargeting | 14d ATC</t>
        </is>
      </c>
      <c r="E720" t="inlineStr">
        <is>
          <t>Carousel-Bestsellers</t>
        </is>
      </c>
      <c r="F720" t="n">
        <v>159.14</v>
      </c>
      <c r="G720" s="20" t="n">
        <v>1965</v>
      </c>
      <c r="H720" s="21" t="n">
        <v>31</v>
      </c>
      <c r="I720" s="21" t="n">
        <v>1</v>
      </c>
      <c r="J720" s="21" t="n">
        <v>671.41</v>
      </c>
    </row>
    <row r="721">
      <c r="A721" s="19" t="n">
        <v>46307</v>
      </c>
      <c r="B721" t="inlineStr">
        <is>
          <t>Meta</t>
        </is>
      </c>
      <c r="C721" t="inlineStr">
        <is>
          <t>VID | Founder story | v1</t>
        </is>
      </c>
      <c r="D721" t="inlineStr">
        <is>
          <t>Prospecting | Broad | EG</t>
        </is>
      </c>
      <c r="E721" t="inlineStr">
        <is>
          <t>UGC-Founder</t>
        </is>
      </c>
      <c r="F721" t="n">
        <v>122.45</v>
      </c>
      <c r="G721" s="20" t="n">
        <v>1512</v>
      </c>
      <c r="H721" s="21" t="n">
        <v>24</v>
      </c>
      <c r="I721" s="21" t="n">
        <v>0</v>
      </c>
      <c r="J721" s="21" t="n">
        <v>0</v>
      </c>
    </row>
    <row r="722">
      <c r="A722" s="19" t="n">
        <v>46218</v>
      </c>
      <c r="B722" t="inlineStr">
        <is>
          <t>TikTok</t>
        </is>
      </c>
      <c r="C722" t="inlineStr">
        <is>
          <t>UGC | Problem-solution | v2</t>
        </is>
      </c>
      <c r="D722" t="inlineStr">
        <is>
          <t>Prospecting | Broad | EG</t>
        </is>
      </c>
      <c r="E722" t="inlineStr">
        <is>
          <t>TT-UGC-ProbSol</t>
        </is>
      </c>
      <c r="F722" t="n">
        <v>503.78</v>
      </c>
      <c r="G722" s="20" t="n">
        <v>11749</v>
      </c>
      <c r="H722" s="21" t="n">
        <v>121</v>
      </c>
      <c r="I722" s="21" t="n">
        <v>3</v>
      </c>
      <c r="J722" s="21" t="n">
        <v>1763.89</v>
      </c>
    </row>
    <row r="723">
      <c r="A723" s="19" t="n">
        <v>46218</v>
      </c>
      <c r="B723" t="inlineStr">
        <is>
          <t>TikTok</t>
        </is>
      </c>
      <c r="C723" t="inlineStr">
        <is>
          <t>UGC | Trend audio | v1</t>
        </is>
      </c>
      <c r="D723" t="inlineStr">
        <is>
          <t>Prospecting | Broad | EG</t>
        </is>
      </c>
      <c r="E723" t="inlineStr">
        <is>
          <t>TT-UGC-Trend</t>
        </is>
      </c>
      <c r="F723" t="n">
        <v>371.1</v>
      </c>
      <c r="G723" s="20" t="n">
        <v>8654</v>
      </c>
      <c r="H723" s="21" t="n">
        <v>89</v>
      </c>
      <c r="I723" s="21" t="n">
        <v>1</v>
      </c>
      <c r="J723" s="21" t="n">
        <v>579.92</v>
      </c>
    </row>
    <row r="724">
      <c r="A724" s="19" t="n">
        <v>46218</v>
      </c>
      <c r="B724" t="inlineStr">
        <is>
          <t>TikTok</t>
        </is>
      </c>
      <c r="C724" t="inlineStr">
        <is>
          <t>UGC | Trend audio | v2</t>
        </is>
      </c>
      <c r="D724" t="inlineStr">
        <is>
          <t>Prospecting | Broad | EG</t>
        </is>
      </c>
      <c r="E724" t="inlineStr">
        <is>
          <t>TT-UGC-Trend</t>
        </is>
      </c>
      <c r="F724" t="n">
        <v>290.46</v>
      </c>
      <c r="G724" s="20" t="n">
        <v>6774</v>
      </c>
      <c r="H724" s="21" t="n">
        <v>70</v>
      </c>
      <c r="I724" s="21" t="n">
        <v>1</v>
      </c>
      <c r="J724" s="21" t="n">
        <v>493.56</v>
      </c>
    </row>
    <row r="725">
      <c r="A725" s="19" t="n">
        <v>46218</v>
      </c>
      <c r="B725" t="inlineStr">
        <is>
          <t>TikTok</t>
        </is>
      </c>
      <c r="C725" t="inlineStr">
        <is>
          <t>Spark ad | Creator A</t>
        </is>
      </c>
      <c r="D725" t="inlineStr">
        <is>
          <t>Spark | Creator A</t>
        </is>
      </c>
      <c r="E725" t="inlineStr">
        <is>
          <t>TT-Spark-CreatorA</t>
        </is>
      </c>
      <c r="F725" t="n">
        <v>379.67</v>
      </c>
      <c r="G725" s="20" t="n">
        <v>8854</v>
      </c>
      <c r="H725" s="21" t="n">
        <v>91</v>
      </c>
      <c r="I725" s="21" t="n">
        <v>2</v>
      </c>
      <c r="J725" s="21" t="n">
        <v>1154.09</v>
      </c>
    </row>
    <row r="726">
      <c r="A726" s="19" t="n">
        <v>46219</v>
      </c>
      <c r="B726" t="inlineStr">
        <is>
          <t>TikTok</t>
        </is>
      </c>
      <c r="C726" t="inlineStr">
        <is>
          <t>UGC | Problem-solution | v2</t>
        </is>
      </c>
      <c r="D726" t="inlineStr">
        <is>
          <t>Prospecting | Broad | EG</t>
        </is>
      </c>
      <c r="E726" t="inlineStr">
        <is>
          <t>TT-UGC-ProbSol</t>
        </is>
      </c>
      <c r="F726" t="n">
        <v>510.31</v>
      </c>
      <c r="G726" s="20" t="n">
        <v>12528</v>
      </c>
      <c r="H726" s="21" t="n">
        <v>158</v>
      </c>
      <c r="I726" s="21" t="n">
        <v>3</v>
      </c>
      <c r="J726" s="21" t="n">
        <v>1884.52</v>
      </c>
    </row>
    <row r="727">
      <c r="A727" s="19" t="n">
        <v>46219</v>
      </c>
      <c r="B727" t="inlineStr">
        <is>
          <t>TikTok</t>
        </is>
      </c>
      <c r="C727" t="inlineStr">
        <is>
          <t>UGC | Trend audio | v1</t>
        </is>
      </c>
      <c r="D727" t="inlineStr">
        <is>
          <t>Prospecting | Broad | EG</t>
        </is>
      </c>
      <c r="E727" t="inlineStr">
        <is>
          <t>TT-UGC-Trend</t>
        </is>
      </c>
      <c r="F727" t="n">
        <v>341.79</v>
      </c>
      <c r="G727" s="20" t="n">
        <v>8391</v>
      </c>
      <c r="H727" s="21" t="n">
        <v>106</v>
      </c>
      <c r="I727" s="21" t="n">
        <v>2</v>
      </c>
      <c r="J727" s="21" t="n">
        <v>1105.05</v>
      </c>
    </row>
    <row r="728">
      <c r="A728" s="19" t="n">
        <v>46219</v>
      </c>
      <c r="B728" t="inlineStr">
        <is>
          <t>TikTok</t>
        </is>
      </c>
      <c r="C728" t="inlineStr">
        <is>
          <t>UGC | Trend audio | v2</t>
        </is>
      </c>
      <c r="D728" t="inlineStr">
        <is>
          <t>Prospecting | Broad | EG</t>
        </is>
      </c>
      <c r="E728" t="inlineStr">
        <is>
          <t>TT-UGC-Trend</t>
        </is>
      </c>
      <c r="F728" t="n">
        <v>218.54</v>
      </c>
      <c r="G728" s="20" t="n">
        <v>5365</v>
      </c>
      <c r="H728" s="21" t="n">
        <v>68</v>
      </c>
      <c r="I728" s="21" t="n">
        <v>1</v>
      </c>
      <c r="J728" s="21" t="n">
        <v>552.09</v>
      </c>
    </row>
    <row r="729">
      <c r="A729" s="19" t="n">
        <v>46219</v>
      </c>
      <c r="B729" t="inlineStr">
        <is>
          <t>TikTok</t>
        </is>
      </c>
      <c r="C729" t="inlineStr">
        <is>
          <t>Spark ad | Creator A</t>
        </is>
      </c>
      <c r="D729" t="inlineStr">
        <is>
          <t>Spark | Creator A</t>
        </is>
      </c>
      <c r="E729" t="inlineStr">
        <is>
          <t>TT-Spark-CreatorA</t>
        </is>
      </c>
      <c r="F729" t="n">
        <v>384.73</v>
      </c>
      <c r="G729" s="20" t="n">
        <v>9445</v>
      </c>
      <c r="H729" s="21" t="n">
        <v>119</v>
      </c>
      <c r="I729" s="21" t="n">
        <v>3</v>
      </c>
      <c r="J729" s="21" t="n">
        <v>2001.48</v>
      </c>
    </row>
    <row r="730">
      <c r="A730" s="19" t="n">
        <v>46220</v>
      </c>
      <c r="B730" t="inlineStr">
        <is>
          <t>TikTok</t>
        </is>
      </c>
      <c r="C730" t="inlineStr">
        <is>
          <t>UGC | Problem-solution | v2</t>
        </is>
      </c>
      <c r="D730" t="inlineStr">
        <is>
          <t>Prospecting | Broad | EG</t>
        </is>
      </c>
      <c r="E730" t="inlineStr">
        <is>
          <t>TT-UGC-ProbSol</t>
        </is>
      </c>
      <c r="F730" t="n">
        <v>614.08</v>
      </c>
      <c r="G730" s="20" t="n">
        <v>15730</v>
      </c>
      <c r="H730" s="21" t="n">
        <v>195</v>
      </c>
      <c r="I730" s="21" t="n">
        <v>4</v>
      </c>
      <c r="J730" s="21" t="n">
        <v>2676.12</v>
      </c>
    </row>
    <row r="731">
      <c r="A731" s="19" t="n">
        <v>46220</v>
      </c>
      <c r="B731" t="inlineStr">
        <is>
          <t>TikTok</t>
        </is>
      </c>
      <c r="C731" t="inlineStr">
        <is>
          <t>UGC | Trend audio | v1</t>
        </is>
      </c>
      <c r="D731" t="inlineStr">
        <is>
          <t>Prospecting | Broad | EG</t>
        </is>
      </c>
      <c r="E731" t="inlineStr">
        <is>
          <t>TT-UGC-Trend</t>
        </is>
      </c>
      <c r="F731" t="n">
        <v>375.67</v>
      </c>
      <c r="G731" s="20" t="n">
        <v>9623</v>
      </c>
      <c r="H731" s="21" t="n">
        <v>119</v>
      </c>
      <c r="I731" s="21" t="n">
        <v>1</v>
      </c>
      <c r="J731" s="21" t="n">
        <v>745.73</v>
      </c>
    </row>
    <row r="732">
      <c r="A732" s="19" t="n">
        <v>46220</v>
      </c>
      <c r="B732" t="inlineStr">
        <is>
          <t>TikTok</t>
        </is>
      </c>
      <c r="C732" t="inlineStr">
        <is>
          <t>UGC | Trend audio | v2</t>
        </is>
      </c>
      <c r="D732" t="inlineStr">
        <is>
          <t>Prospecting | Broad | EG</t>
        </is>
      </c>
      <c r="E732" t="inlineStr">
        <is>
          <t>TT-UGC-Trend</t>
        </is>
      </c>
      <c r="F732" t="n">
        <v>278.12</v>
      </c>
      <c r="G732" s="20" t="n">
        <v>7124</v>
      </c>
      <c r="H732" s="21" t="n">
        <v>88</v>
      </c>
      <c r="I732" s="21" t="n">
        <v>1</v>
      </c>
      <c r="J732" s="21" t="n">
        <v>684.97</v>
      </c>
    </row>
    <row r="733">
      <c r="A733" s="19" t="n">
        <v>46220</v>
      </c>
      <c r="B733" t="inlineStr">
        <is>
          <t>TikTok</t>
        </is>
      </c>
      <c r="C733" t="inlineStr">
        <is>
          <t>Spark ad | Creator A</t>
        </is>
      </c>
      <c r="D733" t="inlineStr">
        <is>
          <t>Spark | Creator A</t>
        </is>
      </c>
      <c r="E733" t="inlineStr">
        <is>
          <t>TT-Spark-CreatorA</t>
        </is>
      </c>
      <c r="F733" t="n">
        <v>402.89</v>
      </c>
      <c r="G733" s="20" t="n">
        <v>10320</v>
      </c>
      <c r="H733" s="21" t="n">
        <v>128</v>
      </c>
      <c r="I733" s="21" t="n">
        <v>3</v>
      </c>
      <c r="J733" s="21" t="n">
        <v>1972.76</v>
      </c>
    </row>
    <row r="734">
      <c r="A734" s="19" t="n">
        <v>46221</v>
      </c>
      <c r="B734" t="inlineStr">
        <is>
          <t>TikTok</t>
        </is>
      </c>
      <c r="C734" t="inlineStr">
        <is>
          <t>UGC | Problem-solution | v2</t>
        </is>
      </c>
      <c r="D734" t="inlineStr">
        <is>
          <t>Prospecting | Broad | EG</t>
        </is>
      </c>
      <c r="E734" t="inlineStr">
        <is>
          <t>TT-UGC-ProbSol</t>
        </is>
      </c>
      <c r="F734" t="n">
        <v>655.38</v>
      </c>
      <c r="G734" s="20" t="n">
        <v>14950</v>
      </c>
      <c r="H734" s="21" t="n">
        <v>152</v>
      </c>
      <c r="I734" s="21" t="n">
        <v>3</v>
      </c>
      <c r="J734" s="21" t="n">
        <v>1824.87</v>
      </c>
    </row>
    <row r="735">
      <c r="A735" s="19" t="n">
        <v>46221</v>
      </c>
      <c r="B735" t="inlineStr">
        <is>
          <t>TikTok</t>
        </is>
      </c>
      <c r="C735" t="inlineStr">
        <is>
          <t>UGC | Trend audio | v1</t>
        </is>
      </c>
      <c r="D735" t="inlineStr">
        <is>
          <t>Prospecting | Broad | EG</t>
        </is>
      </c>
      <c r="E735" t="inlineStr">
        <is>
          <t>TT-UGC-Trend</t>
        </is>
      </c>
      <c r="F735" t="n">
        <v>440.08</v>
      </c>
      <c r="G735" s="20" t="n">
        <v>10038</v>
      </c>
      <c r="H735" s="21" t="n">
        <v>102</v>
      </c>
      <c r="I735" s="21" t="n">
        <v>1</v>
      </c>
      <c r="J735" s="21" t="n">
        <v>628.88</v>
      </c>
    </row>
    <row r="736">
      <c r="A736" s="19" t="n">
        <v>46221</v>
      </c>
      <c r="B736" t="inlineStr">
        <is>
          <t>TikTok</t>
        </is>
      </c>
      <c r="C736" t="inlineStr">
        <is>
          <t>UGC | Trend audio | v2</t>
        </is>
      </c>
      <c r="D736" t="inlineStr">
        <is>
          <t>Prospecting | Broad | EG</t>
        </is>
      </c>
      <c r="E736" t="inlineStr">
        <is>
          <t>TT-UGC-Trend</t>
        </is>
      </c>
      <c r="F736" t="n">
        <v>283.38</v>
      </c>
      <c r="G736" s="20" t="n">
        <v>6464</v>
      </c>
      <c r="H736" s="21" t="n">
        <v>66</v>
      </c>
      <c r="I736" s="21" t="n">
        <v>1</v>
      </c>
      <c r="J736" s="21" t="n">
        <v>615.45</v>
      </c>
    </row>
    <row r="737">
      <c r="A737" s="19" t="n">
        <v>46221</v>
      </c>
      <c r="B737" t="inlineStr">
        <is>
          <t>TikTok</t>
        </is>
      </c>
      <c r="C737" t="inlineStr">
        <is>
          <t>Spark ad | Creator A</t>
        </is>
      </c>
      <c r="D737" t="inlineStr">
        <is>
          <t>Spark | Creator A</t>
        </is>
      </c>
      <c r="E737" t="inlineStr">
        <is>
          <t>TT-Spark-CreatorA</t>
        </is>
      </c>
      <c r="F737" t="n">
        <v>502.39</v>
      </c>
      <c r="G737" s="20" t="n">
        <v>11460</v>
      </c>
      <c r="H737" s="21" t="n">
        <v>116</v>
      </c>
      <c r="I737" s="21" t="n">
        <v>2</v>
      </c>
      <c r="J737" s="21" t="n">
        <v>1284.59</v>
      </c>
    </row>
    <row r="738">
      <c r="A738" s="19" t="n">
        <v>46222</v>
      </c>
      <c r="B738" t="inlineStr">
        <is>
          <t>TikTok</t>
        </is>
      </c>
      <c r="C738" t="inlineStr">
        <is>
          <t>UGC | Problem-solution | v2</t>
        </is>
      </c>
      <c r="D738" t="inlineStr">
        <is>
          <t>Prospecting | Broad | EG</t>
        </is>
      </c>
      <c r="E738" t="inlineStr">
        <is>
          <t>TT-UGC-ProbSol</t>
        </is>
      </c>
      <c r="F738" t="n">
        <v>495.68</v>
      </c>
      <c r="G738" s="20" t="n">
        <v>11997</v>
      </c>
      <c r="H738" s="21" t="n">
        <v>154</v>
      </c>
      <c r="I738" s="21" t="n">
        <v>3</v>
      </c>
      <c r="J738" s="21" t="n">
        <v>1856.97</v>
      </c>
    </row>
    <row r="739">
      <c r="A739" s="19" t="n">
        <v>46222</v>
      </c>
      <c r="B739" t="inlineStr">
        <is>
          <t>TikTok</t>
        </is>
      </c>
      <c r="C739" t="inlineStr">
        <is>
          <t>UGC | Trend audio | v1</t>
        </is>
      </c>
      <c r="D739" t="inlineStr">
        <is>
          <t>Prospecting | Broad | EG</t>
        </is>
      </c>
      <c r="E739" t="inlineStr">
        <is>
          <t>TT-UGC-Trend</t>
        </is>
      </c>
      <c r="F739" t="n">
        <v>347.97</v>
      </c>
      <c r="G739" s="20" t="n">
        <v>8422</v>
      </c>
      <c r="H739" s="21" t="n">
        <v>108</v>
      </c>
      <c r="I739" s="21" t="n">
        <v>2</v>
      </c>
      <c r="J739" s="21" t="n">
        <v>1289.93</v>
      </c>
    </row>
    <row r="740">
      <c r="A740" s="19" t="n">
        <v>46222</v>
      </c>
      <c r="B740" t="inlineStr">
        <is>
          <t>TikTok</t>
        </is>
      </c>
      <c r="C740" t="inlineStr">
        <is>
          <t>UGC | Trend audio | v2</t>
        </is>
      </c>
      <c r="D740" t="inlineStr">
        <is>
          <t>Prospecting | Broad | EG</t>
        </is>
      </c>
      <c r="E740" t="inlineStr">
        <is>
          <t>TT-UGC-Trend</t>
        </is>
      </c>
      <c r="F740" t="n">
        <v>223.37</v>
      </c>
      <c r="G740" s="20" t="n">
        <v>5406</v>
      </c>
      <c r="H740" s="21" t="n">
        <v>69</v>
      </c>
      <c r="I740" s="21" t="n">
        <v>1</v>
      </c>
      <c r="J740" s="21" t="n">
        <v>607.64</v>
      </c>
    </row>
    <row r="741">
      <c r="A741" s="19" t="n">
        <v>46222</v>
      </c>
      <c r="B741" t="inlineStr">
        <is>
          <t>TikTok</t>
        </is>
      </c>
      <c r="C741" t="inlineStr">
        <is>
          <t>Spark ad | Creator A</t>
        </is>
      </c>
      <c r="D741" t="inlineStr">
        <is>
          <t>Spark | Creator A</t>
        </is>
      </c>
      <c r="E741" t="inlineStr">
        <is>
          <t>TT-Spark-CreatorA</t>
        </is>
      </c>
      <c r="F741" t="n">
        <v>371.26</v>
      </c>
      <c r="G741" s="20" t="n">
        <v>8986</v>
      </c>
      <c r="H741" s="21" t="n">
        <v>115</v>
      </c>
      <c r="I741" s="21" t="n">
        <v>3</v>
      </c>
      <c r="J741" s="21" t="n">
        <v>1986.86</v>
      </c>
    </row>
    <row r="742">
      <c r="A742" s="19" t="n">
        <v>46223</v>
      </c>
      <c r="B742" t="inlineStr">
        <is>
          <t>TikTok</t>
        </is>
      </c>
      <c r="C742" t="inlineStr">
        <is>
          <t>UGC | Problem-solution | v2</t>
        </is>
      </c>
      <c r="D742" t="inlineStr">
        <is>
          <t>Prospecting | Broad | EG</t>
        </is>
      </c>
      <c r="E742" t="inlineStr">
        <is>
          <t>TT-UGC-ProbSol</t>
        </is>
      </c>
      <c r="F742" t="n">
        <v>495.65</v>
      </c>
      <c r="G742" s="20" t="n">
        <v>11582</v>
      </c>
      <c r="H742" s="21" t="n">
        <v>157</v>
      </c>
      <c r="I742" s="21" t="n">
        <v>3</v>
      </c>
      <c r="J742" s="21" t="n">
        <v>1858.7</v>
      </c>
    </row>
    <row r="743">
      <c r="A743" s="19" t="n">
        <v>46223</v>
      </c>
      <c r="B743" t="inlineStr">
        <is>
          <t>TikTok</t>
        </is>
      </c>
      <c r="C743" t="inlineStr">
        <is>
          <t>UGC | Trend audio | v1</t>
        </is>
      </c>
      <c r="D743" t="inlineStr">
        <is>
          <t>Prospecting | Broad | EG</t>
        </is>
      </c>
      <c r="E743" t="inlineStr">
        <is>
          <t>TT-UGC-Trend</t>
        </is>
      </c>
      <c r="F743" t="n">
        <v>313.72</v>
      </c>
      <c r="G743" s="20" t="n">
        <v>7331</v>
      </c>
      <c r="H743" s="21" t="n">
        <v>99</v>
      </c>
      <c r="I743" s="21" t="n">
        <v>1</v>
      </c>
      <c r="J743" s="21" t="n">
        <v>565.64</v>
      </c>
    </row>
    <row r="744">
      <c r="A744" s="19" t="n">
        <v>46223</v>
      </c>
      <c r="B744" t="inlineStr">
        <is>
          <t>TikTok</t>
        </is>
      </c>
      <c r="C744" t="inlineStr">
        <is>
          <t>UGC | Trend audio | v2</t>
        </is>
      </c>
      <c r="D744" t="inlineStr">
        <is>
          <t>Prospecting | Broad | EG</t>
        </is>
      </c>
      <c r="E744" t="inlineStr">
        <is>
          <t>TT-UGC-Trend</t>
        </is>
      </c>
      <c r="F744" t="n">
        <v>241.61</v>
      </c>
      <c r="G744" s="20" t="n">
        <v>5646</v>
      </c>
      <c r="H744" s="21" t="n">
        <v>76</v>
      </c>
      <c r="I744" s="21" t="n">
        <v>2</v>
      </c>
      <c r="J744" s="21" t="n">
        <v>1232.68</v>
      </c>
    </row>
    <row r="745">
      <c r="A745" s="19" t="n">
        <v>46223</v>
      </c>
      <c r="B745" t="inlineStr">
        <is>
          <t>TikTok</t>
        </is>
      </c>
      <c r="C745" t="inlineStr">
        <is>
          <t>Spark ad | Creator A</t>
        </is>
      </c>
      <c r="D745" t="inlineStr">
        <is>
          <t>Spark | Creator A</t>
        </is>
      </c>
      <c r="E745" t="inlineStr">
        <is>
          <t>TT-Spark-CreatorA</t>
        </is>
      </c>
      <c r="F745" t="n">
        <v>334.49</v>
      </c>
      <c r="G745" s="20" t="n">
        <v>7816</v>
      </c>
      <c r="H745" s="21" t="n">
        <v>106</v>
      </c>
      <c r="I745" s="21" t="n">
        <v>3</v>
      </c>
      <c r="J745" s="21" t="n">
        <v>1728.91</v>
      </c>
    </row>
    <row r="746">
      <c r="A746" s="19" t="n">
        <v>46224</v>
      </c>
      <c r="B746" t="inlineStr">
        <is>
          <t>TikTok</t>
        </is>
      </c>
      <c r="C746" t="inlineStr">
        <is>
          <t>UGC | Problem-solution | v2</t>
        </is>
      </c>
      <c r="D746" t="inlineStr">
        <is>
          <t>Prospecting | Broad | EG</t>
        </is>
      </c>
      <c r="E746" t="inlineStr">
        <is>
          <t>TT-UGC-ProbSol</t>
        </is>
      </c>
      <c r="F746" t="n">
        <v>437.78</v>
      </c>
      <c r="G746" s="20" t="n">
        <v>10807</v>
      </c>
      <c r="H746" s="21" t="n">
        <v>121</v>
      </c>
      <c r="I746" s="21" t="n">
        <v>2</v>
      </c>
      <c r="J746" s="21" t="n">
        <v>1056.15</v>
      </c>
    </row>
    <row r="747">
      <c r="A747" s="19" t="n">
        <v>46224</v>
      </c>
      <c r="B747" t="inlineStr">
        <is>
          <t>TikTok</t>
        </is>
      </c>
      <c r="C747" t="inlineStr">
        <is>
          <t>UGC | Trend audio | v1</t>
        </is>
      </c>
      <c r="D747" t="inlineStr">
        <is>
          <t>Prospecting | Broad | EG</t>
        </is>
      </c>
      <c r="E747" t="inlineStr">
        <is>
          <t>TT-UGC-Trend</t>
        </is>
      </c>
      <c r="F747" t="n">
        <v>303.7</v>
      </c>
      <c r="G747" s="20" t="n">
        <v>7497</v>
      </c>
      <c r="H747" s="21" t="n">
        <v>84</v>
      </c>
      <c r="I747" s="21" t="n">
        <v>1</v>
      </c>
      <c r="J747" s="21" t="n">
        <v>625.8200000000001</v>
      </c>
    </row>
    <row r="748">
      <c r="A748" s="19" t="n">
        <v>46224</v>
      </c>
      <c r="B748" t="inlineStr">
        <is>
          <t>TikTok</t>
        </is>
      </c>
      <c r="C748" t="inlineStr">
        <is>
          <t>UGC | Trend audio | v2</t>
        </is>
      </c>
      <c r="D748" t="inlineStr">
        <is>
          <t>Prospecting | Broad | EG</t>
        </is>
      </c>
      <c r="E748" t="inlineStr">
        <is>
          <t>TT-UGC-Trend</t>
        </is>
      </c>
      <c r="F748" t="n">
        <v>239.15</v>
      </c>
      <c r="G748" s="20" t="n">
        <v>5904</v>
      </c>
      <c r="H748" s="21" t="n">
        <v>66</v>
      </c>
      <c r="I748" s="21" t="n">
        <v>1</v>
      </c>
      <c r="J748" s="21" t="n">
        <v>582.14</v>
      </c>
    </row>
    <row r="749">
      <c r="A749" s="19" t="n">
        <v>46224</v>
      </c>
      <c r="B749" t="inlineStr">
        <is>
          <t>TikTok</t>
        </is>
      </c>
      <c r="C749" t="inlineStr">
        <is>
          <t>Spark ad | Creator A</t>
        </is>
      </c>
      <c r="D749" t="inlineStr">
        <is>
          <t>Spark | Creator A</t>
        </is>
      </c>
      <c r="E749" t="inlineStr">
        <is>
          <t>TT-Spark-CreatorA</t>
        </is>
      </c>
      <c r="F749" t="n">
        <v>374.39</v>
      </c>
      <c r="G749" s="20" t="n">
        <v>9242</v>
      </c>
      <c r="H749" s="21" t="n">
        <v>103</v>
      </c>
      <c r="I749" s="21" t="n">
        <v>2</v>
      </c>
      <c r="J749" s="21" t="n">
        <v>1186.44</v>
      </c>
    </row>
    <row r="750">
      <c r="A750" s="19" t="n">
        <v>46225</v>
      </c>
      <c r="B750" t="inlineStr">
        <is>
          <t>TikTok</t>
        </is>
      </c>
      <c r="C750" t="inlineStr">
        <is>
          <t>UGC | Problem-solution | v2</t>
        </is>
      </c>
      <c r="D750" t="inlineStr">
        <is>
          <t>Prospecting | Broad | EG</t>
        </is>
      </c>
      <c r="E750" t="inlineStr">
        <is>
          <t>TT-UGC-ProbSol</t>
        </is>
      </c>
      <c r="F750" t="n">
        <v>510.3</v>
      </c>
      <c r="G750" s="20" t="n">
        <v>12400</v>
      </c>
      <c r="H750" s="21" t="n">
        <v>125</v>
      </c>
      <c r="I750" s="21" t="n">
        <v>3</v>
      </c>
      <c r="J750" s="21" t="n">
        <v>1852.02</v>
      </c>
    </row>
    <row r="751">
      <c r="A751" s="19" t="n">
        <v>46225</v>
      </c>
      <c r="B751" t="inlineStr">
        <is>
          <t>TikTok</t>
        </is>
      </c>
      <c r="C751" t="inlineStr">
        <is>
          <t>UGC | Trend audio | v1</t>
        </is>
      </c>
      <c r="D751" t="inlineStr">
        <is>
          <t>Prospecting | Broad | EG</t>
        </is>
      </c>
      <c r="E751" t="inlineStr">
        <is>
          <t>TT-UGC-Trend</t>
        </is>
      </c>
      <c r="F751" t="n">
        <v>370.98</v>
      </c>
      <c r="G751" s="20" t="n">
        <v>9014</v>
      </c>
      <c r="H751" s="21" t="n">
        <v>91</v>
      </c>
      <c r="I751" s="21" t="n">
        <v>1</v>
      </c>
      <c r="J751" s="21" t="n">
        <v>517.26</v>
      </c>
    </row>
    <row r="752">
      <c r="A752" s="19" t="n">
        <v>46225</v>
      </c>
      <c r="B752" t="inlineStr">
        <is>
          <t>TikTok</t>
        </is>
      </c>
      <c r="C752" t="inlineStr">
        <is>
          <t>UGC | Trend audio | v2</t>
        </is>
      </c>
      <c r="D752" t="inlineStr">
        <is>
          <t>Prospecting | Broad | EG</t>
        </is>
      </c>
      <c r="E752" t="inlineStr">
        <is>
          <t>TT-UGC-Trend</t>
        </is>
      </c>
      <c r="F752" t="n">
        <v>251.97</v>
      </c>
      <c r="G752" s="20" t="n">
        <v>6123</v>
      </c>
      <c r="H752" s="21" t="n">
        <v>62</v>
      </c>
      <c r="I752" s="21" t="n">
        <v>1</v>
      </c>
      <c r="J752" s="21" t="n">
        <v>580.76</v>
      </c>
    </row>
    <row r="753">
      <c r="A753" s="19" t="n">
        <v>46225</v>
      </c>
      <c r="B753" t="inlineStr">
        <is>
          <t>TikTok</t>
        </is>
      </c>
      <c r="C753" t="inlineStr">
        <is>
          <t>Spark ad | Creator A</t>
        </is>
      </c>
      <c r="D753" t="inlineStr">
        <is>
          <t>Spark | Creator A</t>
        </is>
      </c>
      <c r="E753" t="inlineStr">
        <is>
          <t>TT-Spark-CreatorA</t>
        </is>
      </c>
      <c r="F753" t="n">
        <v>364.88</v>
      </c>
      <c r="G753" s="20" t="n">
        <v>8866</v>
      </c>
      <c r="H753" s="21" t="n">
        <v>89</v>
      </c>
      <c r="I753" s="21" t="n">
        <v>2</v>
      </c>
      <c r="J753" s="21" t="n">
        <v>1161.31</v>
      </c>
    </row>
    <row r="754">
      <c r="A754" s="19" t="n">
        <v>46226</v>
      </c>
      <c r="B754" t="inlineStr">
        <is>
          <t>TikTok</t>
        </is>
      </c>
      <c r="C754" t="inlineStr">
        <is>
          <t>UGC | Problem-solution | v2</t>
        </is>
      </c>
      <c r="D754" t="inlineStr">
        <is>
          <t>Prospecting | Broad | EG</t>
        </is>
      </c>
      <c r="E754" t="inlineStr">
        <is>
          <t>TT-UGC-ProbSol</t>
        </is>
      </c>
      <c r="F754" t="n">
        <v>400.32</v>
      </c>
      <c r="G754" s="20" t="n">
        <v>9340</v>
      </c>
      <c r="H754" s="21" t="n">
        <v>112</v>
      </c>
      <c r="I754" s="21" t="n">
        <v>2</v>
      </c>
      <c r="J754" s="21" t="n">
        <v>1119.76</v>
      </c>
    </row>
    <row r="755">
      <c r="A755" s="19" t="n">
        <v>46226</v>
      </c>
      <c r="B755" t="inlineStr">
        <is>
          <t>TikTok</t>
        </is>
      </c>
      <c r="C755" t="inlineStr">
        <is>
          <t>UGC | Trend audio | v1</t>
        </is>
      </c>
      <c r="D755" t="inlineStr">
        <is>
          <t>Prospecting | Broad | EG</t>
        </is>
      </c>
      <c r="E755" t="inlineStr">
        <is>
          <t>TT-UGC-Trend</t>
        </is>
      </c>
      <c r="F755" t="n">
        <v>333.42</v>
      </c>
      <c r="G755" s="20" t="n">
        <v>7780</v>
      </c>
      <c r="H755" s="21" t="n">
        <v>94</v>
      </c>
      <c r="I755" s="21" t="n">
        <v>1</v>
      </c>
      <c r="J755" s="21" t="n">
        <v>635.36</v>
      </c>
    </row>
    <row r="756">
      <c r="A756" s="19" t="n">
        <v>46226</v>
      </c>
      <c r="B756" t="inlineStr">
        <is>
          <t>TikTok</t>
        </is>
      </c>
      <c r="C756" t="inlineStr">
        <is>
          <t>UGC | Trend audio | v2</t>
        </is>
      </c>
      <c r="D756" t="inlineStr">
        <is>
          <t>Prospecting | Broad | EG</t>
        </is>
      </c>
      <c r="E756" t="inlineStr">
        <is>
          <t>TT-UGC-Trend</t>
        </is>
      </c>
      <c r="F756" t="n">
        <v>264.82</v>
      </c>
      <c r="G756" s="20" t="n">
        <v>6179</v>
      </c>
      <c r="H756" s="21" t="n">
        <v>74</v>
      </c>
      <c r="I756" s="21" t="n">
        <v>1</v>
      </c>
      <c r="J756" s="21" t="n">
        <v>580.76</v>
      </c>
    </row>
    <row r="757">
      <c r="A757" s="19" t="n">
        <v>46226</v>
      </c>
      <c r="B757" t="inlineStr">
        <is>
          <t>TikTok</t>
        </is>
      </c>
      <c r="C757" t="inlineStr">
        <is>
          <t>Spark ad | Creator A</t>
        </is>
      </c>
      <c r="D757" t="inlineStr">
        <is>
          <t>Spark | Creator A</t>
        </is>
      </c>
      <c r="E757" t="inlineStr">
        <is>
          <t>TT-Spark-CreatorA</t>
        </is>
      </c>
      <c r="F757" t="n">
        <v>405.09</v>
      </c>
      <c r="G757" s="20" t="n">
        <v>9452</v>
      </c>
      <c r="H757" s="21" t="n">
        <v>114</v>
      </c>
      <c r="I757" s="21" t="n">
        <v>2</v>
      </c>
      <c r="J757" s="21" t="n">
        <v>1155.51</v>
      </c>
    </row>
    <row r="758">
      <c r="A758" s="19" t="n">
        <v>46227</v>
      </c>
      <c r="B758" t="inlineStr">
        <is>
          <t>TikTok</t>
        </is>
      </c>
      <c r="C758" t="inlineStr">
        <is>
          <t>UGC | Problem-solution | v2</t>
        </is>
      </c>
      <c r="D758" t="inlineStr">
        <is>
          <t>Prospecting | Broad | EG</t>
        </is>
      </c>
      <c r="E758" t="inlineStr">
        <is>
          <t>TT-UGC-ProbSol</t>
        </is>
      </c>
      <c r="F758" t="n">
        <v>542.48</v>
      </c>
      <c r="G758" s="20" t="n">
        <v>12249</v>
      </c>
      <c r="H758" s="21" t="n">
        <v>127</v>
      </c>
      <c r="I758" s="21" t="n">
        <v>2</v>
      </c>
      <c r="J758" s="21" t="n">
        <v>1183.65</v>
      </c>
    </row>
    <row r="759">
      <c r="A759" s="19" t="n">
        <v>46227</v>
      </c>
      <c r="B759" t="inlineStr">
        <is>
          <t>TikTok</t>
        </is>
      </c>
      <c r="C759" t="inlineStr">
        <is>
          <t>UGC | Trend audio | v1</t>
        </is>
      </c>
      <c r="D759" t="inlineStr">
        <is>
          <t>Prospecting | Broad | EG</t>
        </is>
      </c>
      <c r="E759" t="inlineStr">
        <is>
          <t>TT-UGC-Trend</t>
        </is>
      </c>
      <c r="F759" t="n">
        <v>288.62</v>
      </c>
      <c r="G759" s="20" t="n">
        <v>6517</v>
      </c>
      <c r="H759" s="21" t="n">
        <v>68</v>
      </c>
      <c r="I759" s="21" t="n">
        <v>1</v>
      </c>
      <c r="J759" s="21" t="n">
        <v>655.8</v>
      </c>
    </row>
    <row r="760">
      <c r="A760" s="19" t="n">
        <v>46227</v>
      </c>
      <c r="B760" t="inlineStr">
        <is>
          <t>TikTok</t>
        </is>
      </c>
      <c r="C760" t="inlineStr">
        <is>
          <t>UGC | Trend audio | v2</t>
        </is>
      </c>
      <c r="D760" t="inlineStr">
        <is>
          <t>Prospecting | Broad | EG</t>
        </is>
      </c>
      <c r="E760" t="inlineStr">
        <is>
          <t>TT-UGC-Trend</t>
        </is>
      </c>
      <c r="F760" t="n">
        <v>278.06</v>
      </c>
      <c r="G760" s="20" t="n">
        <v>6278</v>
      </c>
      <c r="H760" s="21" t="n">
        <v>65</v>
      </c>
      <c r="I760" s="21" t="n">
        <v>1</v>
      </c>
      <c r="J760" s="21" t="n">
        <v>595.1900000000001</v>
      </c>
    </row>
    <row r="761">
      <c r="A761" s="19" t="n">
        <v>46227</v>
      </c>
      <c r="B761" t="inlineStr">
        <is>
          <t>TikTok</t>
        </is>
      </c>
      <c r="C761" t="inlineStr">
        <is>
          <t>Spark ad | Creator A</t>
        </is>
      </c>
      <c r="D761" t="inlineStr">
        <is>
          <t>Spark | Creator A</t>
        </is>
      </c>
      <c r="E761" t="inlineStr">
        <is>
          <t>TT-Spark-CreatorA</t>
        </is>
      </c>
      <c r="F761" t="n">
        <v>386.83</v>
      </c>
      <c r="G761" s="20" t="n">
        <v>8735</v>
      </c>
      <c r="H761" s="21" t="n">
        <v>91</v>
      </c>
      <c r="I761" s="21" t="n">
        <v>2</v>
      </c>
      <c r="J761" s="21" t="n">
        <v>1216.9</v>
      </c>
    </row>
    <row r="762">
      <c r="A762" s="19" t="n">
        <v>46228</v>
      </c>
      <c r="B762" t="inlineStr">
        <is>
          <t>TikTok</t>
        </is>
      </c>
      <c r="C762" t="inlineStr">
        <is>
          <t>UGC | Problem-solution | v2</t>
        </is>
      </c>
      <c r="D762" t="inlineStr">
        <is>
          <t>Prospecting | Broad | EG</t>
        </is>
      </c>
      <c r="E762" t="inlineStr">
        <is>
          <t>TT-UGC-ProbSol</t>
        </is>
      </c>
      <c r="F762" t="n">
        <v>518.52</v>
      </c>
      <c r="G762" s="20" t="n">
        <v>12416</v>
      </c>
      <c r="H762" s="21" t="n">
        <v>127</v>
      </c>
      <c r="I762" s="21" t="n">
        <v>2</v>
      </c>
      <c r="J762" s="21" t="n">
        <v>1276.77</v>
      </c>
    </row>
    <row r="763">
      <c r="A763" s="19" t="n">
        <v>46228</v>
      </c>
      <c r="B763" t="inlineStr">
        <is>
          <t>TikTok</t>
        </is>
      </c>
      <c r="C763" t="inlineStr">
        <is>
          <t>UGC | Trend audio | v1</t>
        </is>
      </c>
      <c r="D763" t="inlineStr">
        <is>
          <t>Prospecting | Broad | EG</t>
        </is>
      </c>
      <c r="E763" t="inlineStr">
        <is>
          <t>TT-UGC-Trend</t>
        </is>
      </c>
      <c r="F763" t="n">
        <v>385.16</v>
      </c>
      <c r="G763" s="20" t="n">
        <v>9223</v>
      </c>
      <c r="H763" s="21" t="n">
        <v>94</v>
      </c>
      <c r="I763" s="21" t="n">
        <v>1</v>
      </c>
      <c r="J763" s="21" t="n">
        <v>655.46</v>
      </c>
    </row>
    <row r="764">
      <c r="A764" s="19" t="n">
        <v>46228</v>
      </c>
      <c r="B764" t="inlineStr">
        <is>
          <t>TikTok</t>
        </is>
      </c>
      <c r="C764" t="inlineStr">
        <is>
          <t>UGC | Trend audio | v2</t>
        </is>
      </c>
      <c r="D764" t="inlineStr">
        <is>
          <t>Prospecting | Broad | EG</t>
        </is>
      </c>
      <c r="E764" t="inlineStr">
        <is>
          <t>TT-UGC-Trend</t>
        </is>
      </c>
      <c r="F764" t="n">
        <v>253.03</v>
      </c>
      <c r="G764" s="20" t="n">
        <v>6059</v>
      </c>
      <c r="H764" s="21" t="n">
        <v>62</v>
      </c>
      <c r="I764" s="21" t="n">
        <v>1</v>
      </c>
      <c r="J764" s="21" t="n">
        <v>690.83</v>
      </c>
    </row>
    <row r="765">
      <c r="A765" s="19" t="n">
        <v>46228</v>
      </c>
      <c r="B765" t="inlineStr">
        <is>
          <t>TikTok</t>
        </is>
      </c>
      <c r="C765" t="inlineStr">
        <is>
          <t>Spark ad | Creator A</t>
        </is>
      </c>
      <c r="D765" t="inlineStr">
        <is>
          <t>Spark | Creator A</t>
        </is>
      </c>
      <c r="E765" t="inlineStr">
        <is>
          <t>TT-Spark-CreatorA</t>
        </is>
      </c>
      <c r="F765" t="n">
        <v>388.13</v>
      </c>
      <c r="G765" s="20" t="n">
        <v>9294</v>
      </c>
      <c r="H765" s="21" t="n">
        <v>95</v>
      </c>
      <c r="I765" s="21" t="n">
        <v>2</v>
      </c>
      <c r="J765" s="21" t="n">
        <v>1243.18</v>
      </c>
    </row>
    <row r="766">
      <c r="A766" s="19" t="n">
        <v>46229</v>
      </c>
      <c r="B766" t="inlineStr">
        <is>
          <t>TikTok</t>
        </is>
      </c>
      <c r="C766" t="inlineStr">
        <is>
          <t>UGC | Problem-solution | v2</t>
        </is>
      </c>
      <c r="D766" t="inlineStr">
        <is>
          <t>Prospecting | Broad | EG</t>
        </is>
      </c>
      <c r="E766" t="inlineStr">
        <is>
          <t>TT-UGC-ProbSol</t>
        </is>
      </c>
      <c r="F766" t="n">
        <v>629.11</v>
      </c>
      <c r="G766" s="20" t="n">
        <v>13969</v>
      </c>
      <c r="H766" s="21" t="n">
        <v>168</v>
      </c>
      <c r="I766" s="21" t="n">
        <v>3</v>
      </c>
      <c r="J766" s="21" t="n">
        <v>1719.34</v>
      </c>
    </row>
    <row r="767">
      <c r="A767" s="19" t="n">
        <v>46229</v>
      </c>
      <c r="B767" t="inlineStr">
        <is>
          <t>TikTok</t>
        </is>
      </c>
      <c r="C767" t="inlineStr">
        <is>
          <t>UGC | Trend audio | v1</t>
        </is>
      </c>
      <c r="D767" t="inlineStr">
        <is>
          <t>Prospecting | Broad | EG</t>
        </is>
      </c>
      <c r="E767" t="inlineStr">
        <is>
          <t>TT-UGC-Trend</t>
        </is>
      </c>
      <c r="F767" t="n">
        <v>385.1</v>
      </c>
      <c r="G767" s="20" t="n">
        <v>8551</v>
      </c>
      <c r="H767" s="21" t="n">
        <v>103</v>
      </c>
      <c r="I767" s="21" t="n">
        <v>1</v>
      </c>
      <c r="J767" s="21" t="n">
        <v>626.75</v>
      </c>
    </row>
    <row r="768">
      <c r="A768" s="19" t="n">
        <v>46229</v>
      </c>
      <c r="B768" t="inlineStr">
        <is>
          <t>TikTok</t>
        </is>
      </c>
      <c r="C768" t="inlineStr">
        <is>
          <t>UGC | Trend audio | v2</t>
        </is>
      </c>
      <c r="D768" t="inlineStr">
        <is>
          <t>Prospecting | Broad | EG</t>
        </is>
      </c>
      <c r="E768" t="inlineStr">
        <is>
          <t>TT-UGC-Trend</t>
        </is>
      </c>
      <c r="F768" t="n">
        <v>308.77</v>
      </c>
      <c r="G768" s="20" t="n">
        <v>6856</v>
      </c>
      <c r="H768" s="21" t="n">
        <v>83</v>
      </c>
      <c r="I768" s="21" t="n">
        <v>1</v>
      </c>
      <c r="J768" s="21" t="n">
        <v>590.0700000000001</v>
      </c>
    </row>
    <row r="769">
      <c r="A769" s="19" t="n">
        <v>46229</v>
      </c>
      <c r="B769" t="inlineStr">
        <is>
          <t>TikTok</t>
        </is>
      </c>
      <c r="C769" t="inlineStr">
        <is>
          <t>Spark ad | Creator A</t>
        </is>
      </c>
      <c r="D769" t="inlineStr">
        <is>
          <t>Spark | Creator A</t>
        </is>
      </c>
      <c r="E769" t="inlineStr">
        <is>
          <t>TT-Spark-CreatorA</t>
        </is>
      </c>
      <c r="F769" t="n">
        <v>410.43</v>
      </c>
      <c r="G769" s="20" t="n">
        <v>9113</v>
      </c>
      <c r="H769" s="21" t="n">
        <v>110</v>
      </c>
      <c r="I769" s="21" t="n">
        <v>3</v>
      </c>
      <c r="J769" s="21" t="n">
        <v>1817.4</v>
      </c>
    </row>
    <row r="770">
      <c r="A770" s="19" t="n">
        <v>46230</v>
      </c>
      <c r="B770" t="inlineStr">
        <is>
          <t>TikTok</t>
        </is>
      </c>
      <c r="C770" t="inlineStr">
        <is>
          <t>UGC | Problem-solution | v2</t>
        </is>
      </c>
      <c r="D770" t="inlineStr">
        <is>
          <t>Prospecting | Broad | EG</t>
        </is>
      </c>
      <c r="E770" t="inlineStr">
        <is>
          <t>TT-UGC-ProbSol</t>
        </is>
      </c>
      <c r="F770" t="n">
        <v>515.2</v>
      </c>
      <c r="G770" s="20" t="n">
        <v>12383</v>
      </c>
      <c r="H770" s="21" t="n">
        <v>159</v>
      </c>
      <c r="I770" s="21" t="n">
        <v>3</v>
      </c>
      <c r="J770" s="21" t="n">
        <v>1876.34</v>
      </c>
    </row>
    <row r="771">
      <c r="A771" s="19" t="n">
        <v>46230</v>
      </c>
      <c r="B771" t="inlineStr">
        <is>
          <t>TikTok</t>
        </is>
      </c>
      <c r="C771" t="inlineStr">
        <is>
          <t>UGC | Trend audio | v1</t>
        </is>
      </c>
      <c r="D771" t="inlineStr">
        <is>
          <t>Prospecting | Broad | EG</t>
        </is>
      </c>
      <c r="E771" t="inlineStr">
        <is>
          <t>TT-UGC-Trend</t>
        </is>
      </c>
      <c r="F771" t="n">
        <v>355.12</v>
      </c>
      <c r="G771" s="20" t="n">
        <v>8535</v>
      </c>
      <c r="H771" s="21" t="n">
        <v>109</v>
      </c>
      <c r="I771" s="21" t="n">
        <v>1</v>
      </c>
      <c r="J771" s="21" t="n">
        <v>643.64</v>
      </c>
    </row>
    <row r="772">
      <c r="A772" s="19" t="n">
        <v>46230</v>
      </c>
      <c r="B772" t="inlineStr">
        <is>
          <t>TikTok</t>
        </is>
      </c>
      <c r="C772" t="inlineStr">
        <is>
          <t>UGC | Trend audio | v2</t>
        </is>
      </c>
      <c r="D772" t="inlineStr">
        <is>
          <t>Prospecting | Broad | EG</t>
        </is>
      </c>
      <c r="E772" t="inlineStr">
        <is>
          <t>TT-UGC-Trend</t>
        </is>
      </c>
      <c r="F772" t="n">
        <v>274.64</v>
      </c>
      <c r="G772" s="20" t="n">
        <v>6601</v>
      </c>
      <c r="H772" s="21" t="n">
        <v>85</v>
      </c>
      <c r="I772" s="21" t="n">
        <v>2</v>
      </c>
      <c r="J772" s="21" t="n">
        <v>1106</v>
      </c>
    </row>
    <row r="773">
      <c r="A773" s="19" t="n">
        <v>46230</v>
      </c>
      <c r="B773" t="inlineStr">
        <is>
          <t>TikTok</t>
        </is>
      </c>
      <c r="C773" t="inlineStr">
        <is>
          <t>Spark ad | Creator A</t>
        </is>
      </c>
      <c r="D773" t="inlineStr">
        <is>
          <t>Spark | Creator A</t>
        </is>
      </c>
      <c r="E773" t="inlineStr">
        <is>
          <t>TT-Spark-CreatorA</t>
        </is>
      </c>
      <c r="F773" t="n">
        <v>428.31</v>
      </c>
      <c r="G773" s="20" t="n">
        <v>10294</v>
      </c>
      <c r="H773" s="21" t="n">
        <v>132</v>
      </c>
      <c r="I773" s="21" t="n">
        <v>3</v>
      </c>
      <c r="J773" s="21" t="n">
        <v>1908.44</v>
      </c>
    </row>
    <row r="774">
      <c r="A774" s="19" t="n">
        <v>46231</v>
      </c>
      <c r="B774" t="inlineStr">
        <is>
          <t>TikTok</t>
        </is>
      </c>
      <c r="C774" t="inlineStr">
        <is>
          <t>UGC | Problem-solution | v2</t>
        </is>
      </c>
      <c r="D774" t="inlineStr">
        <is>
          <t>Prospecting | Broad | EG</t>
        </is>
      </c>
      <c r="E774" t="inlineStr">
        <is>
          <t>TT-UGC-ProbSol</t>
        </is>
      </c>
      <c r="F774" t="n">
        <v>495.12</v>
      </c>
      <c r="G774" s="20" t="n">
        <v>11321</v>
      </c>
      <c r="H774" s="21" t="n">
        <v>127</v>
      </c>
      <c r="I774" s="21" t="n">
        <v>2</v>
      </c>
      <c r="J774" s="21" t="n">
        <v>1288.28</v>
      </c>
    </row>
    <row r="775">
      <c r="A775" s="19" t="n">
        <v>46231</v>
      </c>
      <c r="B775" t="inlineStr">
        <is>
          <t>TikTok</t>
        </is>
      </c>
      <c r="C775" t="inlineStr">
        <is>
          <t>UGC | Trend audio | v1</t>
        </is>
      </c>
      <c r="D775" t="inlineStr">
        <is>
          <t>Prospecting | Broad | EG</t>
        </is>
      </c>
      <c r="E775" t="inlineStr">
        <is>
          <t>TT-UGC-Trend</t>
        </is>
      </c>
      <c r="F775" t="n">
        <v>311.42</v>
      </c>
      <c r="G775" s="20" t="n">
        <v>7121</v>
      </c>
      <c r="H775" s="21" t="n">
        <v>80</v>
      </c>
      <c r="I775" s="21" t="n">
        <v>1</v>
      </c>
      <c r="J775" s="21" t="n">
        <v>670.41</v>
      </c>
    </row>
    <row r="776">
      <c r="A776" s="19" t="n">
        <v>46231</v>
      </c>
      <c r="B776" t="inlineStr">
        <is>
          <t>TikTok</t>
        </is>
      </c>
      <c r="C776" t="inlineStr">
        <is>
          <t>UGC | Trend audio | v2</t>
        </is>
      </c>
      <c r="D776" t="inlineStr">
        <is>
          <t>Prospecting | Broad | EG</t>
        </is>
      </c>
      <c r="E776" t="inlineStr">
        <is>
          <t>TT-UGC-Trend</t>
        </is>
      </c>
      <c r="F776" t="n">
        <v>206.68</v>
      </c>
      <c r="G776" s="20" t="n">
        <v>4726</v>
      </c>
      <c r="H776" s="21" t="n">
        <v>53</v>
      </c>
      <c r="I776" s="21" t="n">
        <v>1</v>
      </c>
      <c r="J776" s="21" t="n">
        <v>774.97</v>
      </c>
    </row>
    <row r="777">
      <c r="A777" s="19" t="n">
        <v>46231</v>
      </c>
      <c r="B777" t="inlineStr">
        <is>
          <t>TikTok</t>
        </is>
      </c>
      <c r="C777" t="inlineStr">
        <is>
          <t>Spark ad | Creator A</t>
        </is>
      </c>
      <c r="D777" t="inlineStr">
        <is>
          <t>Spark | Creator A</t>
        </is>
      </c>
      <c r="E777" t="inlineStr">
        <is>
          <t>TT-Spark-CreatorA</t>
        </is>
      </c>
      <c r="F777" t="n">
        <v>320.93</v>
      </c>
      <c r="G777" s="20" t="n">
        <v>7338</v>
      </c>
      <c r="H777" s="21" t="n">
        <v>82</v>
      </c>
      <c r="I777" s="21" t="n">
        <v>1</v>
      </c>
      <c r="J777" s="21" t="n">
        <v>730.26</v>
      </c>
    </row>
    <row r="778">
      <c r="A778" s="19" t="n">
        <v>46232</v>
      </c>
      <c r="B778" t="inlineStr">
        <is>
          <t>TikTok</t>
        </is>
      </c>
      <c r="C778" t="inlineStr">
        <is>
          <t>UGC | Problem-solution | v2</t>
        </is>
      </c>
      <c r="D778" t="inlineStr">
        <is>
          <t>Prospecting | Broad | EG</t>
        </is>
      </c>
      <c r="E778" t="inlineStr">
        <is>
          <t>TT-UGC-ProbSol</t>
        </is>
      </c>
      <c r="F778" t="n">
        <v>505.97</v>
      </c>
      <c r="G778" s="20" t="n">
        <v>11257</v>
      </c>
      <c r="H778" s="21" t="n">
        <v>123</v>
      </c>
      <c r="I778" s="21" t="n">
        <v>3</v>
      </c>
      <c r="J778" s="21" t="n">
        <v>1719.18</v>
      </c>
    </row>
    <row r="779">
      <c r="A779" s="19" t="n">
        <v>46232</v>
      </c>
      <c r="B779" t="inlineStr">
        <is>
          <t>TikTok</t>
        </is>
      </c>
      <c r="C779" t="inlineStr">
        <is>
          <t>UGC | Trend audio | v1</t>
        </is>
      </c>
      <c r="D779" t="inlineStr">
        <is>
          <t>Prospecting | Broad | EG</t>
        </is>
      </c>
      <c r="E779" t="inlineStr">
        <is>
          <t>TT-UGC-Trend</t>
        </is>
      </c>
      <c r="F779" t="n">
        <v>363.43</v>
      </c>
      <c r="G779" s="20" t="n">
        <v>8086</v>
      </c>
      <c r="H779" s="21" t="n">
        <v>88</v>
      </c>
      <c r="I779" s="21" t="n">
        <v>1</v>
      </c>
      <c r="J779" s="21" t="n">
        <v>574.1900000000001</v>
      </c>
    </row>
    <row r="780">
      <c r="A780" s="19" t="n">
        <v>46232</v>
      </c>
      <c r="B780" t="inlineStr">
        <is>
          <t>TikTok</t>
        </is>
      </c>
      <c r="C780" t="inlineStr">
        <is>
          <t>UGC | Trend audio | v2</t>
        </is>
      </c>
      <c r="D780" t="inlineStr">
        <is>
          <t>Prospecting | Broad | EG</t>
        </is>
      </c>
      <c r="E780" t="inlineStr">
        <is>
          <t>TT-UGC-Trend</t>
        </is>
      </c>
      <c r="F780" t="n">
        <v>292.09</v>
      </c>
      <c r="G780" s="20" t="n">
        <v>6498</v>
      </c>
      <c r="H780" s="21" t="n">
        <v>71</v>
      </c>
      <c r="I780" s="21" t="n">
        <v>1</v>
      </c>
      <c r="J780" s="21" t="n">
        <v>581.99</v>
      </c>
    </row>
    <row r="781">
      <c r="A781" s="19" t="n">
        <v>46232</v>
      </c>
      <c r="B781" t="inlineStr">
        <is>
          <t>TikTok</t>
        </is>
      </c>
      <c r="C781" t="inlineStr">
        <is>
          <t>Spark ad | Creator A</t>
        </is>
      </c>
      <c r="D781" t="inlineStr">
        <is>
          <t>Spark | Creator A</t>
        </is>
      </c>
      <c r="E781" t="inlineStr">
        <is>
          <t>TT-Spark-CreatorA</t>
        </is>
      </c>
      <c r="F781" t="n">
        <v>384.05</v>
      </c>
      <c r="G781" s="20" t="n">
        <v>8544</v>
      </c>
      <c r="H781" s="21" t="n">
        <v>93</v>
      </c>
      <c r="I781" s="21" t="n">
        <v>2</v>
      </c>
      <c r="J781" s="21" t="n">
        <v>1141.55</v>
      </c>
    </row>
    <row r="782">
      <c r="A782" s="19" t="n">
        <v>46233</v>
      </c>
      <c r="B782" t="inlineStr">
        <is>
          <t>TikTok</t>
        </is>
      </c>
      <c r="C782" t="inlineStr">
        <is>
          <t>UGC | Problem-solution | v2</t>
        </is>
      </c>
      <c r="D782" t="inlineStr">
        <is>
          <t>Prospecting | Broad | EG</t>
        </is>
      </c>
      <c r="E782" t="inlineStr">
        <is>
          <t>TT-UGC-ProbSol</t>
        </is>
      </c>
      <c r="F782" t="n">
        <v>544.92</v>
      </c>
      <c r="G782" s="20" t="n">
        <v>12102</v>
      </c>
      <c r="H782" s="21" t="n">
        <v>140</v>
      </c>
      <c r="I782" s="21" t="n">
        <v>3</v>
      </c>
      <c r="J782" s="21" t="n">
        <v>2101.99</v>
      </c>
    </row>
    <row r="783">
      <c r="A783" s="19" t="n">
        <v>46233</v>
      </c>
      <c r="B783" t="inlineStr">
        <is>
          <t>TikTok</t>
        </is>
      </c>
      <c r="C783" t="inlineStr">
        <is>
          <t>UGC | Trend audio | v1</t>
        </is>
      </c>
      <c r="D783" t="inlineStr">
        <is>
          <t>Prospecting | Broad | EG</t>
        </is>
      </c>
      <c r="E783" t="inlineStr">
        <is>
          <t>TT-UGC-Trend</t>
        </is>
      </c>
      <c r="F783" t="n">
        <v>326.96</v>
      </c>
      <c r="G783" s="20" t="n">
        <v>7261</v>
      </c>
      <c r="H783" s="21" t="n">
        <v>84</v>
      </c>
      <c r="I783" s="21" t="n">
        <v>1</v>
      </c>
      <c r="J783" s="21" t="n">
        <v>612.62</v>
      </c>
    </row>
    <row r="784">
      <c r="A784" s="19" t="n">
        <v>46233</v>
      </c>
      <c r="B784" t="inlineStr">
        <is>
          <t>TikTok</t>
        </is>
      </c>
      <c r="C784" t="inlineStr">
        <is>
          <t>UGC | Trend audio | v2</t>
        </is>
      </c>
      <c r="D784" t="inlineStr">
        <is>
          <t>Prospecting | Broad | EG</t>
        </is>
      </c>
      <c r="E784" t="inlineStr">
        <is>
          <t>TT-UGC-Trend</t>
        </is>
      </c>
      <c r="F784" t="n">
        <v>292.25</v>
      </c>
      <c r="G784" s="20" t="n">
        <v>6491</v>
      </c>
      <c r="H784" s="21" t="n">
        <v>75</v>
      </c>
      <c r="I784" s="21" t="n">
        <v>1</v>
      </c>
      <c r="J784" s="21" t="n">
        <v>623.26</v>
      </c>
    </row>
    <row r="785">
      <c r="A785" s="19" t="n">
        <v>46233</v>
      </c>
      <c r="B785" t="inlineStr">
        <is>
          <t>TikTok</t>
        </is>
      </c>
      <c r="C785" t="inlineStr">
        <is>
          <t>Spark ad | Creator A</t>
        </is>
      </c>
      <c r="D785" t="inlineStr">
        <is>
          <t>Spark | Creator A</t>
        </is>
      </c>
      <c r="E785" t="inlineStr">
        <is>
          <t>TT-Spark-CreatorA</t>
        </is>
      </c>
      <c r="F785" t="n">
        <v>392.56</v>
      </c>
      <c r="G785" s="20" t="n">
        <v>8718</v>
      </c>
      <c r="H785" s="21" t="n">
        <v>101</v>
      </c>
      <c r="I785" s="21" t="n">
        <v>2</v>
      </c>
      <c r="J785" s="21" t="n">
        <v>1208.09</v>
      </c>
    </row>
    <row r="786">
      <c r="A786" s="19" t="n">
        <v>46234</v>
      </c>
      <c r="B786" t="inlineStr">
        <is>
          <t>TikTok</t>
        </is>
      </c>
      <c r="C786" t="inlineStr">
        <is>
          <t>UGC | Problem-solution | v2</t>
        </is>
      </c>
      <c r="D786" t="inlineStr">
        <is>
          <t>Prospecting | Broad | EG</t>
        </is>
      </c>
      <c r="E786" t="inlineStr">
        <is>
          <t>TT-UGC-ProbSol</t>
        </is>
      </c>
      <c r="F786" t="n">
        <v>556.75</v>
      </c>
      <c r="G786" s="20" t="n">
        <v>12818</v>
      </c>
      <c r="H786" s="21" t="n">
        <v>169</v>
      </c>
      <c r="I786" s="21" t="n">
        <v>3</v>
      </c>
      <c r="J786" s="21" t="n">
        <v>1932.09</v>
      </c>
    </row>
    <row r="787">
      <c r="A787" s="19" t="n">
        <v>46234</v>
      </c>
      <c r="B787" t="inlineStr">
        <is>
          <t>TikTok</t>
        </is>
      </c>
      <c r="C787" t="inlineStr">
        <is>
          <t>UGC | Trend audio | v1</t>
        </is>
      </c>
      <c r="D787" t="inlineStr">
        <is>
          <t>Prospecting | Broad | EG</t>
        </is>
      </c>
      <c r="E787" t="inlineStr">
        <is>
          <t>TT-UGC-Trend</t>
        </is>
      </c>
      <c r="F787" t="n">
        <v>400.35</v>
      </c>
      <c r="G787" s="20" t="n">
        <v>9217</v>
      </c>
      <c r="H787" s="21" t="n">
        <v>121</v>
      </c>
      <c r="I787" s="21" t="n">
        <v>1</v>
      </c>
      <c r="J787" s="21" t="n">
        <v>639.67</v>
      </c>
    </row>
    <row r="788">
      <c r="A788" s="19" t="n">
        <v>46234</v>
      </c>
      <c r="B788" t="inlineStr">
        <is>
          <t>TikTok</t>
        </is>
      </c>
      <c r="C788" t="inlineStr">
        <is>
          <t>UGC | Trend audio | v2</t>
        </is>
      </c>
      <c r="D788" t="inlineStr">
        <is>
          <t>Prospecting | Broad | EG</t>
        </is>
      </c>
      <c r="E788" t="inlineStr">
        <is>
          <t>TT-UGC-Trend</t>
        </is>
      </c>
      <c r="F788" t="n">
        <v>289.92</v>
      </c>
      <c r="G788" s="20" t="n">
        <v>6675</v>
      </c>
      <c r="H788" s="21" t="n">
        <v>88</v>
      </c>
      <c r="I788" s="21" t="n">
        <v>1</v>
      </c>
      <c r="J788" s="21" t="n">
        <v>612.51</v>
      </c>
    </row>
    <row r="789">
      <c r="A789" s="19" t="n">
        <v>46234</v>
      </c>
      <c r="B789" t="inlineStr">
        <is>
          <t>TikTok</t>
        </is>
      </c>
      <c r="C789" t="inlineStr">
        <is>
          <t>Spark ad | Creator A</t>
        </is>
      </c>
      <c r="D789" t="inlineStr">
        <is>
          <t>Spark | Creator A</t>
        </is>
      </c>
      <c r="E789" t="inlineStr">
        <is>
          <t>TT-Spark-CreatorA</t>
        </is>
      </c>
      <c r="F789" t="n">
        <v>380.12</v>
      </c>
      <c r="G789" s="20" t="n">
        <v>8752</v>
      </c>
      <c r="H789" s="21" t="n">
        <v>115</v>
      </c>
      <c r="I789" s="21" t="n">
        <v>3</v>
      </c>
      <c r="J789" s="21" t="n">
        <v>1727.14</v>
      </c>
    </row>
    <row r="790">
      <c r="A790" s="19" t="n">
        <v>46235</v>
      </c>
      <c r="B790" t="inlineStr">
        <is>
          <t>TikTok</t>
        </is>
      </c>
      <c r="C790" t="inlineStr">
        <is>
          <t>UGC | Problem-solution | v2</t>
        </is>
      </c>
      <c r="D790" t="inlineStr">
        <is>
          <t>Prospecting | Broad | EG</t>
        </is>
      </c>
      <c r="E790" t="inlineStr">
        <is>
          <t>TT-UGC-ProbSol</t>
        </is>
      </c>
      <c r="F790" t="n">
        <v>659.8200000000001</v>
      </c>
      <c r="G790" s="20" t="n">
        <v>15409</v>
      </c>
      <c r="H790" s="21" t="n">
        <v>184</v>
      </c>
      <c r="I790" s="21" t="n">
        <v>3</v>
      </c>
      <c r="J790" s="21" t="n">
        <v>1834.24</v>
      </c>
    </row>
    <row r="791">
      <c r="A791" s="19" t="n">
        <v>46235</v>
      </c>
      <c r="B791" t="inlineStr">
        <is>
          <t>TikTok</t>
        </is>
      </c>
      <c r="C791" t="inlineStr">
        <is>
          <t>UGC | Trend audio | v1</t>
        </is>
      </c>
      <c r="D791" t="inlineStr">
        <is>
          <t>Prospecting | Broad | EG</t>
        </is>
      </c>
      <c r="E791" t="inlineStr">
        <is>
          <t>TT-UGC-Trend</t>
        </is>
      </c>
      <c r="F791" t="n">
        <v>474.24</v>
      </c>
      <c r="G791" s="20" t="n">
        <v>11075</v>
      </c>
      <c r="H791" s="21" t="n">
        <v>132</v>
      </c>
      <c r="I791" s="21" t="n">
        <v>1</v>
      </c>
      <c r="J791" s="21" t="n">
        <v>646.15</v>
      </c>
    </row>
    <row r="792">
      <c r="A792" s="19" t="n">
        <v>46235</v>
      </c>
      <c r="B792" t="inlineStr">
        <is>
          <t>TikTok</t>
        </is>
      </c>
      <c r="C792" t="inlineStr">
        <is>
          <t>UGC | Trend audio | v2</t>
        </is>
      </c>
      <c r="D792" t="inlineStr">
        <is>
          <t>Prospecting | Broad | EG</t>
        </is>
      </c>
      <c r="E792" t="inlineStr">
        <is>
          <t>TT-UGC-Trend</t>
        </is>
      </c>
      <c r="F792" t="n">
        <v>357.15</v>
      </c>
      <c r="G792" s="20" t="n">
        <v>8340</v>
      </c>
      <c r="H792" s="21" t="n">
        <v>100</v>
      </c>
      <c r="I792" s="21" t="n">
        <v>2</v>
      </c>
      <c r="J792" s="21" t="n">
        <v>1083.19</v>
      </c>
    </row>
    <row r="793">
      <c r="A793" s="19" t="n">
        <v>46235</v>
      </c>
      <c r="B793" t="inlineStr">
        <is>
          <t>TikTok</t>
        </is>
      </c>
      <c r="C793" t="inlineStr">
        <is>
          <t>Spark ad | Creator A</t>
        </is>
      </c>
      <c r="D793" t="inlineStr">
        <is>
          <t>Spark | Creator A</t>
        </is>
      </c>
      <c r="E793" t="inlineStr">
        <is>
          <t>TT-Spark-CreatorA</t>
        </is>
      </c>
      <c r="F793" t="n">
        <v>528.38</v>
      </c>
      <c r="G793" s="20" t="n">
        <v>12339</v>
      </c>
      <c r="H793" s="21" t="n">
        <v>147</v>
      </c>
      <c r="I793" s="21" t="n">
        <v>3</v>
      </c>
      <c r="J793" s="21" t="n">
        <v>1807.75</v>
      </c>
    </row>
    <row r="794">
      <c r="A794" s="19" t="n">
        <v>46236</v>
      </c>
      <c r="B794" t="inlineStr">
        <is>
          <t>TikTok</t>
        </is>
      </c>
      <c r="C794" t="inlineStr">
        <is>
          <t>UGC | Problem-solution | v2</t>
        </is>
      </c>
      <c r="D794" t="inlineStr">
        <is>
          <t>Prospecting | Broad | EG</t>
        </is>
      </c>
      <c r="E794" t="inlineStr">
        <is>
          <t>TT-UGC-ProbSol</t>
        </is>
      </c>
      <c r="F794" t="n">
        <v>566.23</v>
      </c>
      <c r="G794" s="20" t="n">
        <v>12708</v>
      </c>
      <c r="H794" s="21" t="n">
        <v>169</v>
      </c>
      <c r="I794" s="21" t="n">
        <v>3</v>
      </c>
      <c r="J794" s="21" t="n">
        <v>1968.95</v>
      </c>
    </row>
    <row r="795">
      <c r="A795" s="19" t="n">
        <v>46236</v>
      </c>
      <c r="B795" t="inlineStr">
        <is>
          <t>TikTok</t>
        </is>
      </c>
      <c r="C795" t="inlineStr">
        <is>
          <t>UGC | Trend audio | v1</t>
        </is>
      </c>
      <c r="D795" t="inlineStr">
        <is>
          <t>Prospecting | Broad | EG</t>
        </is>
      </c>
      <c r="E795" t="inlineStr">
        <is>
          <t>TT-UGC-Trend</t>
        </is>
      </c>
      <c r="F795" t="n">
        <v>402.85</v>
      </c>
      <c r="G795" s="20" t="n">
        <v>9041</v>
      </c>
      <c r="H795" s="21" t="n">
        <v>120</v>
      </c>
      <c r="I795" s="21" t="n">
        <v>2</v>
      </c>
      <c r="J795" s="21" t="n">
        <v>1198.26</v>
      </c>
    </row>
    <row r="796">
      <c r="A796" s="19" t="n">
        <v>46236</v>
      </c>
      <c r="B796" t="inlineStr">
        <is>
          <t>TikTok</t>
        </is>
      </c>
      <c r="C796" t="inlineStr">
        <is>
          <t>UGC | Trend audio | v2</t>
        </is>
      </c>
      <c r="D796" t="inlineStr">
        <is>
          <t>Prospecting | Broad | EG</t>
        </is>
      </c>
      <c r="E796" t="inlineStr">
        <is>
          <t>TT-UGC-Trend</t>
        </is>
      </c>
      <c r="F796" t="n">
        <v>386.72</v>
      </c>
      <c r="G796" s="20" t="n">
        <v>8679</v>
      </c>
      <c r="H796" s="21" t="n">
        <v>116</v>
      </c>
      <c r="I796" s="21" t="n">
        <v>2</v>
      </c>
      <c r="J796" s="21" t="n">
        <v>1093.53</v>
      </c>
    </row>
    <row r="797">
      <c r="A797" s="19" t="n">
        <v>46236</v>
      </c>
      <c r="B797" t="inlineStr">
        <is>
          <t>TikTok</t>
        </is>
      </c>
      <c r="C797" t="inlineStr">
        <is>
          <t>Spark ad | Creator A</t>
        </is>
      </c>
      <c r="D797" t="inlineStr">
        <is>
          <t>Spark | Creator A</t>
        </is>
      </c>
      <c r="E797" t="inlineStr">
        <is>
          <t>TT-Spark-CreatorA</t>
        </is>
      </c>
      <c r="F797" t="n">
        <v>516.8200000000001</v>
      </c>
      <c r="G797" s="20" t="n">
        <v>11599</v>
      </c>
      <c r="H797" s="21" t="n">
        <v>155</v>
      </c>
      <c r="I797" s="21" t="n">
        <v>4</v>
      </c>
      <c r="J797" s="21" t="n">
        <v>2367.77</v>
      </c>
    </row>
    <row r="798">
      <c r="A798" s="19" t="n">
        <v>46237</v>
      </c>
      <c r="B798" t="inlineStr">
        <is>
          <t>TikTok</t>
        </is>
      </c>
      <c r="C798" t="inlineStr">
        <is>
          <t>UGC | Problem-solution | v2</t>
        </is>
      </c>
      <c r="D798" t="inlineStr">
        <is>
          <t>Prospecting | Broad | EG</t>
        </is>
      </c>
      <c r="E798" t="inlineStr">
        <is>
          <t>TT-UGC-ProbSol</t>
        </is>
      </c>
      <c r="F798" t="n">
        <v>573.96</v>
      </c>
      <c r="G798" s="20" t="n">
        <v>13070</v>
      </c>
      <c r="H798" s="21" t="n">
        <v>172</v>
      </c>
      <c r="I798" s="21" t="n">
        <v>3</v>
      </c>
      <c r="J798" s="21" t="n">
        <v>1929.35</v>
      </c>
    </row>
    <row r="799">
      <c r="A799" s="19" t="n">
        <v>46237</v>
      </c>
      <c r="B799" t="inlineStr">
        <is>
          <t>TikTok</t>
        </is>
      </c>
      <c r="C799" t="inlineStr">
        <is>
          <t>UGC | Trend audio | v1</t>
        </is>
      </c>
      <c r="D799" t="inlineStr">
        <is>
          <t>Prospecting | Broad | EG</t>
        </is>
      </c>
      <c r="E799" t="inlineStr">
        <is>
          <t>TT-UGC-Trend</t>
        </is>
      </c>
      <c r="F799" t="n">
        <v>437.47</v>
      </c>
      <c r="G799" s="20" t="n">
        <v>9962</v>
      </c>
      <c r="H799" s="21" t="n">
        <v>131</v>
      </c>
      <c r="I799" s="21" t="n">
        <v>2</v>
      </c>
      <c r="J799" s="21" t="n">
        <v>1204.97</v>
      </c>
    </row>
    <row r="800">
      <c r="A800" s="19" t="n">
        <v>46237</v>
      </c>
      <c r="B800" t="inlineStr">
        <is>
          <t>TikTok</t>
        </is>
      </c>
      <c r="C800" t="inlineStr">
        <is>
          <t>UGC | Trend audio | v2</t>
        </is>
      </c>
      <c r="D800" t="inlineStr">
        <is>
          <t>Prospecting | Broad | EG</t>
        </is>
      </c>
      <c r="E800" t="inlineStr">
        <is>
          <t>TT-UGC-Trend</t>
        </is>
      </c>
      <c r="F800" t="n">
        <v>344.14</v>
      </c>
      <c r="G800" s="20" t="n">
        <v>7836</v>
      </c>
      <c r="H800" s="21" t="n">
        <v>103</v>
      </c>
      <c r="I800" s="21" t="n">
        <v>2</v>
      </c>
      <c r="J800" s="21" t="n">
        <v>1347</v>
      </c>
    </row>
    <row r="801">
      <c r="A801" s="19" t="n">
        <v>46237</v>
      </c>
      <c r="B801" t="inlineStr">
        <is>
          <t>TikTok</t>
        </is>
      </c>
      <c r="C801" t="inlineStr">
        <is>
          <t>Spark ad | Creator A</t>
        </is>
      </c>
      <c r="D801" t="inlineStr">
        <is>
          <t>Spark | Creator A</t>
        </is>
      </c>
      <c r="E801" t="inlineStr">
        <is>
          <t>TT-Spark-CreatorA</t>
        </is>
      </c>
      <c r="F801" t="n">
        <v>426.49</v>
      </c>
      <c r="G801" s="20" t="n">
        <v>9712</v>
      </c>
      <c r="H801" s="21" t="n">
        <v>128</v>
      </c>
      <c r="I801" s="21" t="n">
        <v>3</v>
      </c>
      <c r="J801" s="21" t="n">
        <v>1850.74</v>
      </c>
    </row>
    <row r="802">
      <c r="A802" s="19" t="n">
        <v>46238</v>
      </c>
      <c r="B802" t="inlineStr">
        <is>
          <t>TikTok</t>
        </is>
      </c>
      <c r="C802" t="inlineStr">
        <is>
          <t>UGC | Problem-solution | v2</t>
        </is>
      </c>
      <c r="D802" t="inlineStr">
        <is>
          <t>Prospecting | Broad | EG</t>
        </is>
      </c>
      <c r="E802" t="inlineStr">
        <is>
          <t>TT-UGC-ProbSol</t>
        </is>
      </c>
      <c r="F802" t="n">
        <v>504.29</v>
      </c>
      <c r="G802" s="20" t="n">
        <v>11940</v>
      </c>
      <c r="H802" s="21" t="n">
        <v>140</v>
      </c>
      <c r="I802" s="21" t="n">
        <v>3</v>
      </c>
      <c r="J802" s="21" t="n">
        <v>1816.42</v>
      </c>
    </row>
    <row r="803">
      <c r="A803" s="19" t="n">
        <v>46238</v>
      </c>
      <c r="B803" t="inlineStr">
        <is>
          <t>TikTok</t>
        </is>
      </c>
      <c r="C803" t="inlineStr">
        <is>
          <t>UGC | Trend audio | v1</t>
        </is>
      </c>
      <c r="D803" t="inlineStr">
        <is>
          <t>Prospecting | Broad | EG</t>
        </is>
      </c>
      <c r="E803" t="inlineStr">
        <is>
          <t>TT-UGC-Trend</t>
        </is>
      </c>
      <c r="F803" t="n">
        <v>333.19</v>
      </c>
      <c r="G803" s="20" t="n">
        <v>7889</v>
      </c>
      <c r="H803" s="21" t="n">
        <v>92</v>
      </c>
      <c r="I803" s="21" t="n">
        <v>1</v>
      </c>
      <c r="J803" s="21" t="n">
        <v>716.13</v>
      </c>
    </row>
    <row r="804">
      <c r="A804" s="19" t="n">
        <v>46238</v>
      </c>
      <c r="B804" t="inlineStr">
        <is>
          <t>TikTok</t>
        </is>
      </c>
      <c r="C804" t="inlineStr">
        <is>
          <t>UGC | Trend audio | v2</t>
        </is>
      </c>
      <c r="D804" t="inlineStr">
        <is>
          <t>Prospecting | Broad | EG</t>
        </is>
      </c>
      <c r="E804" t="inlineStr">
        <is>
          <t>TT-UGC-Trend</t>
        </is>
      </c>
      <c r="F804" t="n">
        <v>258.17</v>
      </c>
      <c r="G804" s="20" t="n">
        <v>6113</v>
      </c>
      <c r="H804" s="21" t="n">
        <v>71</v>
      </c>
      <c r="I804" s="21" t="n">
        <v>1</v>
      </c>
      <c r="J804" s="21" t="n">
        <v>601.08</v>
      </c>
    </row>
    <row r="805">
      <c r="A805" s="19" t="n">
        <v>46238</v>
      </c>
      <c r="B805" t="inlineStr">
        <is>
          <t>TikTok</t>
        </is>
      </c>
      <c r="C805" t="inlineStr">
        <is>
          <t>Spark ad | Creator A</t>
        </is>
      </c>
      <c r="D805" t="inlineStr">
        <is>
          <t>Spark | Creator A</t>
        </is>
      </c>
      <c r="E805" t="inlineStr">
        <is>
          <t>TT-Spark-CreatorA</t>
        </is>
      </c>
      <c r="F805" t="n">
        <v>457.05</v>
      </c>
      <c r="G805" s="20" t="n">
        <v>10821</v>
      </c>
      <c r="H805" s="21" t="n">
        <v>127</v>
      </c>
      <c r="I805" s="21" t="n">
        <v>3</v>
      </c>
      <c r="J805" s="21" t="n">
        <v>2110.35</v>
      </c>
    </row>
    <row r="806">
      <c r="A806" s="19" t="n">
        <v>46239</v>
      </c>
      <c r="B806" t="inlineStr">
        <is>
          <t>TikTok</t>
        </is>
      </c>
      <c r="C806" t="inlineStr">
        <is>
          <t>UGC | Problem-solution | v2</t>
        </is>
      </c>
      <c r="D806" t="inlineStr">
        <is>
          <t>Prospecting | Broad | EG</t>
        </is>
      </c>
      <c r="E806" t="inlineStr">
        <is>
          <t>TT-UGC-ProbSol</t>
        </is>
      </c>
      <c r="F806" t="n">
        <v>459.14</v>
      </c>
      <c r="G806" s="20" t="n">
        <v>10753</v>
      </c>
      <c r="H806" s="21" t="n">
        <v>126</v>
      </c>
      <c r="I806" s="21" t="n">
        <v>2</v>
      </c>
      <c r="J806" s="21" t="n">
        <v>1242.4</v>
      </c>
    </row>
    <row r="807">
      <c r="A807" s="19" t="n">
        <v>46239</v>
      </c>
      <c r="B807" t="inlineStr">
        <is>
          <t>TikTok</t>
        </is>
      </c>
      <c r="C807" t="inlineStr">
        <is>
          <t>UGC | Trend audio | v1</t>
        </is>
      </c>
      <c r="D807" t="inlineStr">
        <is>
          <t>Prospecting | Broad | EG</t>
        </is>
      </c>
      <c r="E807" t="inlineStr">
        <is>
          <t>TT-UGC-Trend</t>
        </is>
      </c>
      <c r="F807" t="n">
        <v>305.94</v>
      </c>
      <c r="G807" s="20" t="n">
        <v>7165</v>
      </c>
      <c r="H807" s="21" t="n">
        <v>84</v>
      </c>
      <c r="I807" s="21" t="n">
        <v>1</v>
      </c>
      <c r="J807" s="21" t="n">
        <v>556.38</v>
      </c>
    </row>
    <row r="808">
      <c r="A808" s="19" t="n">
        <v>46239</v>
      </c>
      <c r="B808" t="inlineStr">
        <is>
          <t>TikTok</t>
        </is>
      </c>
      <c r="C808" t="inlineStr">
        <is>
          <t>UGC | Trend audio | v2</t>
        </is>
      </c>
      <c r="D808" t="inlineStr">
        <is>
          <t>Prospecting | Broad | EG</t>
        </is>
      </c>
      <c r="E808" t="inlineStr">
        <is>
          <t>TT-UGC-Trend</t>
        </is>
      </c>
      <c r="F808" t="n">
        <v>296.5</v>
      </c>
      <c r="G808" s="20" t="n">
        <v>6944</v>
      </c>
      <c r="H808" s="21" t="n">
        <v>81</v>
      </c>
      <c r="I808" s="21" t="n">
        <v>1</v>
      </c>
      <c r="J808" s="21" t="n">
        <v>540.08</v>
      </c>
    </row>
    <row r="809">
      <c r="A809" s="19" t="n">
        <v>46239</v>
      </c>
      <c r="B809" t="inlineStr">
        <is>
          <t>TikTok</t>
        </is>
      </c>
      <c r="C809" t="inlineStr">
        <is>
          <t>Spark ad | Creator A</t>
        </is>
      </c>
      <c r="D809" t="inlineStr">
        <is>
          <t>Spark | Creator A</t>
        </is>
      </c>
      <c r="E809" t="inlineStr">
        <is>
          <t>TT-Spark-CreatorA</t>
        </is>
      </c>
      <c r="F809" t="n">
        <v>366.7</v>
      </c>
      <c r="G809" s="20" t="n">
        <v>8588</v>
      </c>
      <c r="H809" s="21" t="n">
        <v>101</v>
      </c>
      <c r="I809" s="21" t="n">
        <v>3</v>
      </c>
      <c r="J809" s="21" t="n">
        <v>1878.01</v>
      </c>
    </row>
    <row r="810">
      <c r="A810" s="19" t="n">
        <v>46240</v>
      </c>
      <c r="B810" t="inlineStr">
        <is>
          <t>TikTok</t>
        </is>
      </c>
      <c r="C810" t="inlineStr">
        <is>
          <t>UGC | Problem-solution | v2</t>
        </is>
      </c>
      <c r="D810" t="inlineStr">
        <is>
          <t>Prospecting | Broad | EG</t>
        </is>
      </c>
      <c r="E810" t="inlineStr">
        <is>
          <t>TT-UGC-ProbSol</t>
        </is>
      </c>
      <c r="F810" t="n">
        <v>520</v>
      </c>
      <c r="G810" s="20" t="n">
        <v>11364</v>
      </c>
      <c r="H810" s="21" t="n">
        <v>136</v>
      </c>
      <c r="I810" s="21" t="n">
        <v>2</v>
      </c>
      <c r="J810" s="21" t="n">
        <v>1244.55</v>
      </c>
    </row>
    <row r="811">
      <c r="A811" s="19" t="n">
        <v>46240</v>
      </c>
      <c r="B811" t="inlineStr">
        <is>
          <t>TikTok</t>
        </is>
      </c>
      <c r="C811" t="inlineStr">
        <is>
          <t>UGC | Trend audio | v1</t>
        </is>
      </c>
      <c r="D811" t="inlineStr">
        <is>
          <t>Prospecting | Broad | EG</t>
        </is>
      </c>
      <c r="E811" t="inlineStr">
        <is>
          <t>TT-UGC-Trend</t>
        </is>
      </c>
      <c r="F811" t="n">
        <v>374.41</v>
      </c>
      <c r="G811" s="20" t="n">
        <v>8182</v>
      </c>
      <c r="H811" s="21" t="n">
        <v>98</v>
      </c>
      <c r="I811" s="21" t="n">
        <v>1</v>
      </c>
      <c r="J811" s="21" t="n">
        <v>632.0599999999999</v>
      </c>
    </row>
    <row r="812">
      <c r="A812" s="19" t="n">
        <v>46240</v>
      </c>
      <c r="B812" t="inlineStr">
        <is>
          <t>TikTok</t>
        </is>
      </c>
      <c r="C812" t="inlineStr">
        <is>
          <t>UGC | Trend audio | v2</t>
        </is>
      </c>
      <c r="D812" t="inlineStr">
        <is>
          <t>Prospecting | Broad | EG</t>
        </is>
      </c>
      <c r="E812" t="inlineStr">
        <is>
          <t>TT-UGC-Trend</t>
        </is>
      </c>
      <c r="F812" t="n">
        <v>281.28</v>
      </c>
      <c r="G812" s="20" t="n">
        <v>6147</v>
      </c>
      <c r="H812" s="21" t="n">
        <v>74</v>
      </c>
      <c r="I812" s="21" t="n">
        <v>1</v>
      </c>
      <c r="J812" s="21" t="n">
        <v>601.89</v>
      </c>
    </row>
    <row r="813">
      <c r="A813" s="19" t="n">
        <v>46240</v>
      </c>
      <c r="B813" t="inlineStr">
        <is>
          <t>TikTok</t>
        </is>
      </c>
      <c r="C813" t="inlineStr">
        <is>
          <t>Spark ad | Creator A</t>
        </is>
      </c>
      <c r="D813" t="inlineStr">
        <is>
          <t>Spark | Creator A</t>
        </is>
      </c>
      <c r="E813" t="inlineStr">
        <is>
          <t>TT-Spark-CreatorA</t>
        </is>
      </c>
      <c r="F813" t="n">
        <v>329.04</v>
      </c>
      <c r="G813" s="20" t="n">
        <v>7191</v>
      </c>
      <c r="H813" s="21" t="n">
        <v>86</v>
      </c>
      <c r="I813" s="21" t="n">
        <v>2</v>
      </c>
      <c r="J813" s="21" t="n">
        <v>1318.26</v>
      </c>
    </row>
    <row r="814">
      <c r="A814" s="19" t="n">
        <v>46241</v>
      </c>
      <c r="B814" t="inlineStr">
        <is>
          <t>TikTok</t>
        </is>
      </c>
      <c r="C814" t="inlineStr">
        <is>
          <t>UGC | Problem-solution | v2</t>
        </is>
      </c>
      <c r="D814" t="inlineStr">
        <is>
          <t>Prospecting | Broad | EG</t>
        </is>
      </c>
      <c r="E814" t="inlineStr">
        <is>
          <t>TT-UGC-ProbSol</t>
        </is>
      </c>
      <c r="F814" t="n">
        <v>555.75</v>
      </c>
      <c r="G814" s="20" t="n">
        <v>11994</v>
      </c>
      <c r="H814" s="21" t="n">
        <v>148</v>
      </c>
      <c r="I814" s="21" t="n">
        <v>3</v>
      </c>
      <c r="J814" s="21" t="n">
        <v>1752.05</v>
      </c>
    </row>
    <row r="815">
      <c r="A815" s="19" t="n">
        <v>46241</v>
      </c>
      <c r="B815" t="inlineStr">
        <is>
          <t>TikTok</t>
        </is>
      </c>
      <c r="C815" t="inlineStr">
        <is>
          <t>UGC | Trend audio | v1</t>
        </is>
      </c>
      <c r="D815" t="inlineStr">
        <is>
          <t>Prospecting | Broad | EG</t>
        </is>
      </c>
      <c r="E815" t="inlineStr">
        <is>
          <t>TT-UGC-Trend</t>
        </is>
      </c>
      <c r="F815" t="n">
        <v>473.26</v>
      </c>
      <c r="G815" s="20" t="n">
        <v>10214</v>
      </c>
      <c r="H815" s="21" t="n">
        <v>126</v>
      </c>
      <c r="I815" s="21" t="n">
        <v>1</v>
      </c>
      <c r="J815" s="21" t="n">
        <v>666.28</v>
      </c>
    </row>
    <row r="816">
      <c r="A816" s="19" t="n">
        <v>46241</v>
      </c>
      <c r="B816" t="inlineStr">
        <is>
          <t>TikTok</t>
        </is>
      </c>
      <c r="C816" t="inlineStr">
        <is>
          <t>UGC | Trend audio | v2</t>
        </is>
      </c>
      <c r="D816" t="inlineStr">
        <is>
          <t>Prospecting | Broad | EG</t>
        </is>
      </c>
      <c r="E816" t="inlineStr">
        <is>
          <t>TT-UGC-Trend</t>
        </is>
      </c>
      <c r="F816" t="n">
        <v>344.14</v>
      </c>
      <c r="G816" s="20" t="n">
        <v>7427</v>
      </c>
      <c r="H816" s="21" t="n">
        <v>92</v>
      </c>
      <c r="I816" s="21" t="n">
        <v>2</v>
      </c>
      <c r="J816" s="21" t="n">
        <v>1375.68</v>
      </c>
    </row>
    <row r="817">
      <c r="A817" s="19" t="n">
        <v>46241</v>
      </c>
      <c r="B817" t="inlineStr">
        <is>
          <t>TikTok</t>
        </is>
      </c>
      <c r="C817" t="inlineStr">
        <is>
          <t>Spark ad | Creator A</t>
        </is>
      </c>
      <c r="D817" t="inlineStr">
        <is>
          <t>Spark | Creator A</t>
        </is>
      </c>
      <c r="E817" t="inlineStr">
        <is>
          <t>TT-Spark-CreatorA</t>
        </is>
      </c>
      <c r="F817" t="n">
        <v>393.9</v>
      </c>
      <c r="G817" s="20" t="n">
        <v>8501</v>
      </c>
      <c r="H817" s="21" t="n">
        <v>105</v>
      </c>
      <c r="I817" s="21" t="n">
        <v>2</v>
      </c>
      <c r="J817" s="21" t="n">
        <v>1184.84</v>
      </c>
    </row>
    <row r="818">
      <c r="A818" s="19" t="n">
        <v>46242</v>
      </c>
      <c r="B818" t="inlineStr">
        <is>
          <t>TikTok</t>
        </is>
      </c>
      <c r="C818" t="inlineStr">
        <is>
          <t>UGC | Problem-solution | v2</t>
        </is>
      </c>
      <c r="D818" t="inlineStr">
        <is>
          <t>Prospecting | Broad | EG</t>
        </is>
      </c>
      <c r="E818" t="inlineStr">
        <is>
          <t>TT-UGC-ProbSol</t>
        </is>
      </c>
      <c r="F818" t="n">
        <v>531.54</v>
      </c>
      <c r="G818" s="20" t="n">
        <v>12117</v>
      </c>
      <c r="H818" s="21" t="n">
        <v>150</v>
      </c>
      <c r="I818" s="21" t="n">
        <v>3</v>
      </c>
      <c r="J818" s="21" t="n">
        <v>1921.29</v>
      </c>
    </row>
    <row r="819">
      <c r="A819" s="19" t="n">
        <v>46242</v>
      </c>
      <c r="B819" t="inlineStr">
        <is>
          <t>TikTok</t>
        </is>
      </c>
      <c r="C819" t="inlineStr">
        <is>
          <t>UGC | Trend audio | v1</t>
        </is>
      </c>
      <c r="D819" t="inlineStr">
        <is>
          <t>Prospecting | Broad | EG</t>
        </is>
      </c>
      <c r="E819" t="inlineStr">
        <is>
          <t>TT-UGC-Trend</t>
        </is>
      </c>
      <c r="F819" t="n">
        <v>416.96</v>
      </c>
      <c r="G819" s="20" t="n">
        <v>9505</v>
      </c>
      <c r="H819" s="21" t="n">
        <v>117</v>
      </c>
      <c r="I819" s="21" t="n">
        <v>2</v>
      </c>
      <c r="J819" s="21" t="n">
        <v>1171.29</v>
      </c>
    </row>
    <row r="820">
      <c r="A820" s="19" t="n">
        <v>46242</v>
      </c>
      <c r="B820" t="inlineStr">
        <is>
          <t>TikTok</t>
        </is>
      </c>
      <c r="C820" t="inlineStr">
        <is>
          <t>UGC | Trend audio | v2</t>
        </is>
      </c>
      <c r="D820" t="inlineStr">
        <is>
          <t>Prospecting | Broad | EG</t>
        </is>
      </c>
      <c r="E820" t="inlineStr">
        <is>
          <t>TT-UGC-Trend</t>
        </is>
      </c>
      <c r="F820" t="n">
        <v>273.01</v>
      </c>
      <c r="G820" s="20" t="n">
        <v>6223</v>
      </c>
      <c r="H820" s="21" t="n">
        <v>77</v>
      </c>
      <c r="I820" s="21" t="n">
        <v>1</v>
      </c>
      <c r="J820" s="21" t="n">
        <v>625.1799999999999</v>
      </c>
    </row>
    <row r="821">
      <c r="A821" s="19" t="n">
        <v>46242</v>
      </c>
      <c r="B821" t="inlineStr">
        <is>
          <t>TikTok</t>
        </is>
      </c>
      <c r="C821" t="inlineStr">
        <is>
          <t>Spark ad | Creator A</t>
        </is>
      </c>
      <c r="D821" t="inlineStr">
        <is>
          <t>Spark | Creator A</t>
        </is>
      </c>
      <c r="E821" t="inlineStr">
        <is>
          <t>TT-Spark-CreatorA</t>
        </is>
      </c>
      <c r="F821" t="n">
        <v>480.39</v>
      </c>
      <c r="G821" s="20" t="n">
        <v>10950</v>
      </c>
      <c r="H821" s="21" t="n">
        <v>135</v>
      </c>
      <c r="I821" s="21" t="n">
        <v>4</v>
      </c>
      <c r="J821" s="21" t="n">
        <v>2607.25</v>
      </c>
    </row>
    <row r="822">
      <c r="A822" s="19" t="n">
        <v>46243</v>
      </c>
      <c r="B822" t="inlineStr">
        <is>
          <t>TikTok</t>
        </is>
      </c>
      <c r="C822" t="inlineStr">
        <is>
          <t>UGC | Problem-solution | v2</t>
        </is>
      </c>
      <c r="D822" t="inlineStr">
        <is>
          <t>Prospecting | Broad | EG</t>
        </is>
      </c>
      <c r="E822" t="inlineStr">
        <is>
          <t>TT-UGC-ProbSol</t>
        </is>
      </c>
      <c r="F822" t="n">
        <v>472.75</v>
      </c>
      <c r="G822" s="20" t="n">
        <v>11202</v>
      </c>
      <c r="H822" s="21" t="n">
        <v>133</v>
      </c>
      <c r="I822" s="21" t="n">
        <v>2</v>
      </c>
      <c r="J822" s="21" t="n">
        <v>1351.36</v>
      </c>
    </row>
    <row r="823">
      <c r="A823" s="19" t="n">
        <v>46243</v>
      </c>
      <c r="B823" t="inlineStr">
        <is>
          <t>TikTok</t>
        </is>
      </c>
      <c r="C823" t="inlineStr">
        <is>
          <t>UGC | Trend audio | v1</t>
        </is>
      </c>
      <c r="D823" t="inlineStr">
        <is>
          <t>Prospecting | Broad | EG</t>
        </is>
      </c>
      <c r="E823" t="inlineStr">
        <is>
          <t>TT-UGC-Trend</t>
        </is>
      </c>
      <c r="F823" t="n">
        <v>351.11</v>
      </c>
      <c r="G823" s="20" t="n">
        <v>8319</v>
      </c>
      <c r="H823" s="21" t="n">
        <v>99</v>
      </c>
      <c r="I823" s="21" t="n">
        <v>1</v>
      </c>
      <c r="J823" s="21" t="n">
        <v>714.8099999999999</v>
      </c>
    </row>
    <row r="824">
      <c r="A824" s="19" t="n">
        <v>46243</v>
      </c>
      <c r="B824" t="inlineStr">
        <is>
          <t>TikTok</t>
        </is>
      </c>
      <c r="C824" t="inlineStr">
        <is>
          <t>UGC | Trend audio | v2</t>
        </is>
      </c>
      <c r="D824" t="inlineStr">
        <is>
          <t>Prospecting | Broad | EG</t>
        </is>
      </c>
      <c r="E824" t="inlineStr">
        <is>
          <t>TT-UGC-Trend</t>
        </is>
      </c>
      <c r="F824" t="n">
        <v>231.7</v>
      </c>
      <c r="G824" s="20" t="n">
        <v>5490</v>
      </c>
      <c r="H824" s="21" t="n">
        <v>65</v>
      </c>
      <c r="I824" s="21" t="n">
        <v>1</v>
      </c>
      <c r="J824" s="21" t="n">
        <v>712.7</v>
      </c>
    </row>
    <row r="825">
      <c r="A825" s="19" t="n">
        <v>46243</v>
      </c>
      <c r="B825" t="inlineStr">
        <is>
          <t>TikTok</t>
        </is>
      </c>
      <c r="C825" t="inlineStr">
        <is>
          <t>Spark ad | Creator A</t>
        </is>
      </c>
      <c r="D825" t="inlineStr">
        <is>
          <t>Spark | Creator A</t>
        </is>
      </c>
      <c r="E825" t="inlineStr">
        <is>
          <t>TT-Spark-CreatorA</t>
        </is>
      </c>
      <c r="F825" t="n">
        <v>403.51</v>
      </c>
      <c r="G825" s="20" t="n">
        <v>9561</v>
      </c>
      <c r="H825" s="21" t="n">
        <v>114</v>
      </c>
      <c r="I825" s="21" t="n">
        <v>2</v>
      </c>
      <c r="J825" s="21" t="n">
        <v>1366.56</v>
      </c>
    </row>
    <row r="826">
      <c r="A826" s="19" t="n">
        <v>46244</v>
      </c>
      <c r="B826" t="inlineStr">
        <is>
          <t>TikTok</t>
        </is>
      </c>
      <c r="C826" t="inlineStr">
        <is>
          <t>UGC | Problem-solution | v2</t>
        </is>
      </c>
      <c r="D826" t="inlineStr">
        <is>
          <t>Prospecting | Broad | EG</t>
        </is>
      </c>
      <c r="E826" t="inlineStr">
        <is>
          <t>TT-UGC-ProbSol</t>
        </is>
      </c>
      <c r="F826" t="n">
        <v>483.04</v>
      </c>
      <c r="G826" s="20" t="n">
        <v>10876</v>
      </c>
      <c r="H826" s="21" t="n">
        <v>142</v>
      </c>
      <c r="I826" s="21" t="n">
        <v>3</v>
      </c>
      <c r="J826" s="21" t="n">
        <v>1775.55</v>
      </c>
    </row>
    <row r="827">
      <c r="A827" s="19" t="n">
        <v>46244</v>
      </c>
      <c r="B827" t="inlineStr">
        <is>
          <t>TikTok</t>
        </is>
      </c>
      <c r="C827" t="inlineStr">
        <is>
          <t>UGC | Trend audio | v1</t>
        </is>
      </c>
      <c r="D827" t="inlineStr">
        <is>
          <t>Prospecting | Broad | EG</t>
        </is>
      </c>
      <c r="E827" t="inlineStr">
        <is>
          <t>TT-UGC-Trend</t>
        </is>
      </c>
      <c r="F827" t="n">
        <v>376.02</v>
      </c>
      <c r="G827" s="20" t="n">
        <v>8466</v>
      </c>
      <c r="H827" s="21" t="n">
        <v>111</v>
      </c>
      <c r="I827" s="21" t="n">
        <v>1</v>
      </c>
      <c r="J827" s="21" t="n">
        <v>559.8</v>
      </c>
    </row>
    <row r="828">
      <c r="A828" s="19" t="n">
        <v>46244</v>
      </c>
      <c r="B828" t="inlineStr">
        <is>
          <t>TikTok</t>
        </is>
      </c>
      <c r="C828" t="inlineStr">
        <is>
          <t>UGC | Trend audio | v2</t>
        </is>
      </c>
      <c r="D828" t="inlineStr">
        <is>
          <t>Prospecting | Broad | EG</t>
        </is>
      </c>
      <c r="E828" t="inlineStr">
        <is>
          <t>TT-UGC-Trend</t>
        </is>
      </c>
      <c r="F828" t="n">
        <v>305.28</v>
      </c>
      <c r="G828" s="20" t="n">
        <v>6873</v>
      </c>
      <c r="H828" s="21" t="n">
        <v>90</v>
      </c>
      <c r="I828" s="21" t="n">
        <v>2</v>
      </c>
      <c r="J828" s="21" t="n">
        <v>1065.45</v>
      </c>
    </row>
    <row r="829">
      <c r="A829" s="19" t="n">
        <v>46244</v>
      </c>
      <c r="B829" t="inlineStr">
        <is>
          <t>TikTok</t>
        </is>
      </c>
      <c r="C829" t="inlineStr">
        <is>
          <t>Spark ad | Creator A</t>
        </is>
      </c>
      <c r="D829" t="inlineStr">
        <is>
          <t>Spark | Creator A</t>
        </is>
      </c>
      <c r="E829" t="inlineStr">
        <is>
          <t>TT-Spark-CreatorA</t>
        </is>
      </c>
      <c r="F829" t="n">
        <v>417.61</v>
      </c>
      <c r="G829" s="20" t="n">
        <v>9403</v>
      </c>
      <c r="H829" s="21" t="n">
        <v>123</v>
      </c>
      <c r="I829" s="21" t="n">
        <v>3</v>
      </c>
      <c r="J829" s="21" t="n">
        <v>1918.22</v>
      </c>
    </row>
    <row r="830">
      <c r="A830" s="19" t="n">
        <v>46245</v>
      </c>
      <c r="B830" t="inlineStr">
        <is>
          <t>TikTok</t>
        </is>
      </c>
      <c r="C830" t="inlineStr">
        <is>
          <t>UGC | Problem-solution | v2</t>
        </is>
      </c>
      <c r="D830" t="inlineStr">
        <is>
          <t>Prospecting | Broad | EG</t>
        </is>
      </c>
      <c r="E830" t="inlineStr">
        <is>
          <t>TT-UGC-ProbSol</t>
        </is>
      </c>
      <c r="F830" t="n">
        <v>502.59</v>
      </c>
      <c r="G830" s="20" t="n">
        <v>10780</v>
      </c>
      <c r="H830" s="21" t="n">
        <v>111</v>
      </c>
      <c r="I830" s="21" t="n">
        <v>2</v>
      </c>
      <c r="J830" s="21" t="n">
        <v>1250.57</v>
      </c>
    </row>
    <row r="831">
      <c r="A831" s="19" t="n">
        <v>46245</v>
      </c>
      <c r="B831" t="inlineStr">
        <is>
          <t>TikTok</t>
        </is>
      </c>
      <c r="C831" t="inlineStr">
        <is>
          <t>UGC | Trend audio | v1</t>
        </is>
      </c>
      <c r="D831" t="inlineStr">
        <is>
          <t>Prospecting | Broad | EG</t>
        </is>
      </c>
      <c r="E831" t="inlineStr">
        <is>
          <t>TT-UGC-Trend</t>
        </is>
      </c>
      <c r="F831" t="n">
        <v>360.16</v>
      </c>
      <c r="G831" s="20" t="n">
        <v>7725</v>
      </c>
      <c r="H831" s="21" t="n">
        <v>80</v>
      </c>
      <c r="I831" s="21" t="n">
        <v>1</v>
      </c>
      <c r="J831" s="21" t="n">
        <v>608.6</v>
      </c>
    </row>
    <row r="832">
      <c r="A832" s="19" t="n">
        <v>46245</v>
      </c>
      <c r="B832" t="inlineStr">
        <is>
          <t>TikTok</t>
        </is>
      </c>
      <c r="C832" t="inlineStr">
        <is>
          <t>UGC | Trend audio | v2</t>
        </is>
      </c>
      <c r="D832" t="inlineStr">
        <is>
          <t>Prospecting | Broad | EG</t>
        </is>
      </c>
      <c r="E832" t="inlineStr">
        <is>
          <t>TT-UGC-Trend</t>
        </is>
      </c>
      <c r="F832" t="n">
        <v>242.22</v>
      </c>
      <c r="G832" s="20" t="n">
        <v>5195</v>
      </c>
      <c r="H832" s="21" t="n">
        <v>53</v>
      </c>
      <c r="I832" s="21" t="n">
        <v>1</v>
      </c>
      <c r="J832" s="21" t="n">
        <v>582.33</v>
      </c>
    </row>
    <row r="833">
      <c r="A833" s="19" t="n">
        <v>46245</v>
      </c>
      <c r="B833" t="inlineStr">
        <is>
          <t>TikTok</t>
        </is>
      </c>
      <c r="C833" t="inlineStr">
        <is>
          <t>Spark ad | Creator A</t>
        </is>
      </c>
      <c r="D833" t="inlineStr">
        <is>
          <t>Spark | Creator A</t>
        </is>
      </c>
      <c r="E833" t="inlineStr">
        <is>
          <t>TT-Spark-CreatorA</t>
        </is>
      </c>
      <c r="F833" t="n">
        <v>375.95</v>
      </c>
      <c r="G833" s="20" t="n">
        <v>8064</v>
      </c>
      <c r="H833" s="21" t="n">
        <v>83</v>
      </c>
      <c r="I833" s="21" t="n">
        <v>2</v>
      </c>
      <c r="J833" s="21" t="n">
        <v>1097.86</v>
      </c>
    </row>
    <row r="834">
      <c r="A834" s="19" t="n">
        <v>46246</v>
      </c>
      <c r="B834" t="inlineStr">
        <is>
          <t>TikTok</t>
        </is>
      </c>
      <c r="C834" t="inlineStr">
        <is>
          <t>UGC | Problem-solution | v2</t>
        </is>
      </c>
      <c r="D834" t="inlineStr">
        <is>
          <t>Prospecting | Broad | EG</t>
        </is>
      </c>
      <c r="E834" t="inlineStr">
        <is>
          <t>TT-UGC-ProbSol</t>
        </is>
      </c>
      <c r="F834" t="n">
        <v>445.83</v>
      </c>
      <c r="G834" s="20" t="n">
        <v>10360</v>
      </c>
      <c r="H834" s="21" t="n">
        <v>121</v>
      </c>
      <c r="I834" s="21" t="n">
        <v>3</v>
      </c>
      <c r="J834" s="21" t="n">
        <v>1863.79</v>
      </c>
    </row>
    <row r="835">
      <c r="A835" s="19" t="n">
        <v>46246</v>
      </c>
      <c r="B835" t="inlineStr">
        <is>
          <t>TikTok</t>
        </is>
      </c>
      <c r="C835" t="inlineStr">
        <is>
          <t>UGC | Trend audio | v1</t>
        </is>
      </c>
      <c r="D835" t="inlineStr">
        <is>
          <t>Prospecting | Broad | EG</t>
        </is>
      </c>
      <c r="E835" t="inlineStr">
        <is>
          <t>TT-UGC-Trend</t>
        </is>
      </c>
      <c r="F835" t="n">
        <v>352.14</v>
      </c>
      <c r="G835" s="20" t="n">
        <v>8183</v>
      </c>
      <c r="H835" s="21" t="n">
        <v>95</v>
      </c>
      <c r="I835" s="21" t="n">
        <v>1</v>
      </c>
      <c r="J835" s="21" t="n">
        <v>657.11</v>
      </c>
    </row>
    <row r="836">
      <c r="A836" s="19" t="n">
        <v>46246</v>
      </c>
      <c r="B836" t="inlineStr">
        <is>
          <t>TikTok</t>
        </is>
      </c>
      <c r="C836" t="inlineStr">
        <is>
          <t>UGC | Trend audio | v2</t>
        </is>
      </c>
      <c r="D836" t="inlineStr">
        <is>
          <t>Prospecting | Broad | EG</t>
        </is>
      </c>
      <c r="E836" t="inlineStr">
        <is>
          <t>TT-UGC-Trend</t>
        </is>
      </c>
      <c r="F836" t="n">
        <v>236.25</v>
      </c>
      <c r="G836" s="20" t="n">
        <v>5490</v>
      </c>
      <c r="H836" s="21" t="n">
        <v>64</v>
      </c>
      <c r="I836" s="21" t="n">
        <v>1</v>
      </c>
      <c r="J836" s="21" t="n">
        <v>646.3099999999999</v>
      </c>
    </row>
    <row r="837">
      <c r="A837" s="19" t="n">
        <v>46246</v>
      </c>
      <c r="B837" t="inlineStr">
        <is>
          <t>TikTok</t>
        </is>
      </c>
      <c r="C837" t="inlineStr">
        <is>
          <t>Spark ad | Creator A</t>
        </is>
      </c>
      <c r="D837" t="inlineStr">
        <is>
          <t>Spark | Creator A</t>
        </is>
      </c>
      <c r="E837" t="inlineStr">
        <is>
          <t>TT-Spark-CreatorA</t>
        </is>
      </c>
      <c r="F837" t="n">
        <v>369.89</v>
      </c>
      <c r="G837" s="20" t="n">
        <v>8595</v>
      </c>
      <c r="H837" s="21" t="n">
        <v>100</v>
      </c>
      <c r="I837" s="21" t="n">
        <v>3</v>
      </c>
      <c r="J837" s="21" t="n">
        <v>1747.45</v>
      </c>
    </row>
    <row r="838">
      <c r="A838" s="19" t="n">
        <v>46247</v>
      </c>
      <c r="B838" t="inlineStr">
        <is>
          <t>TikTok</t>
        </is>
      </c>
      <c r="C838" t="inlineStr">
        <is>
          <t>UGC | Problem-solution | v2</t>
        </is>
      </c>
      <c r="D838" t="inlineStr">
        <is>
          <t>Prospecting | Broad | EG</t>
        </is>
      </c>
      <c r="E838" t="inlineStr">
        <is>
          <t>TT-UGC-ProbSol</t>
        </is>
      </c>
      <c r="F838" t="n">
        <v>492.62</v>
      </c>
      <c r="G838" s="20" t="n">
        <v>11393</v>
      </c>
      <c r="H838" s="21" t="n">
        <v>142</v>
      </c>
      <c r="I838" s="21" t="n">
        <v>3</v>
      </c>
      <c r="J838" s="21" t="n">
        <v>1791.73</v>
      </c>
    </row>
    <row r="839">
      <c r="A839" s="19" t="n">
        <v>46247</v>
      </c>
      <c r="B839" t="inlineStr">
        <is>
          <t>TikTok</t>
        </is>
      </c>
      <c r="C839" t="inlineStr">
        <is>
          <t>UGC | Trend audio | v1</t>
        </is>
      </c>
      <c r="D839" t="inlineStr">
        <is>
          <t>Prospecting | Broad | EG</t>
        </is>
      </c>
      <c r="E839" t="inlineStr">
        <is>
          <t>TT-UGC-Trend</t>
        </is>
      </c>
      <c r="F839" t="n">
        <v>372.48</v>
      </c>
      <c r="G839" s="20" t="n">
        <v>8614</v>
      </c>
      <c r="H839" s="21" t="n">
        <v>108</v>
      </c>
      <c r="I839" s="21" t="n">
        <v>1</v>
      </c>
      <c r="J839" s="21" t="n">
        <v>605.27</v>
      </c>
    </row>
    <row r="840">
      <c r="A840" s="19" t="n">
        <v>46247</v>
      </c>
      <c r="B840" t="inlineStr">
        <is>
          <t>TikTok</t>
        </is>
      </c>
      <c r="C840" t="inlineStr">
        <is>
          <t>UGC | Trend audio | v2</t>
        </is>
      </c>
      <c r="D840" t="inlineStr">
        <is>
          <t>Prospecting | Broad | EG</t>
        </is>
      </c>
      <c r="E840" t="inlineStr">
        <is>
          <t>TT-UGC-Trend</t>
        </is>
      </c>
      <c r="F840" t="n">
        <v>304.63</v>
      </c>
      <c r="G840" s="20" t="n">
        <v>7045</v>
      </c>
      <c r="H840" s="21" t="n">
        <v>88</v>
      </c>
      <c r="I840" s="21" t="n">
        <v>2</v>
      </c>
      <c r="J840" s="21" t="n">
        <v>1020.64</v>
      </c>
    </row>
    <row r="841">
      <c r="A841" s="19" t="n">
        <v>46247</v>
      </c>
      <c r="B841" t="inlineStr">
        <is>
          <t>TikTok</t>
        </is>
      </c>
      <c r="C841" t="inlineStr">
        <is>
          <t>Spark ad | Creator A</t>
        </is>
      </c>
      <c r="D841" t="inlineStr">
        <is>
          <t>Spark | Creator A</t>
        </is>
      </c>
      <c r="E841" t="inlineStr">
        <is>
          <t>TT-Spark-CreatorA</t>
        </is>
      </c>
      <c r="F841" t="n">
        <v>457.12</v>
      </c>
      <c r="G841" s="20" t="n">
        <v>10572</v>
      </c>
      <c r="H841" s="21" t="n">
        <v>132</v>
      </c>
      <c r="I841" s="21" t="n">
        <v>4</v>
      </c>
      <c r="J841" s="21" t="n">
        <v>2396.73</v>
      </c>
    </row>
    <row r="842">
      <c r="A842" s="19" t="n">
        <v>46248</v>
      </c>
      <c r="B842" t="inlineStr">
        <is>
          <t>TikTok</t>
        </is>
      </c>
      <c r="C842" t="inlineStr">
        <is>
          <t>UGC | Problem-solution | v2</t>
        </is>
      </c>
      <c r="D842" t="inlineStr">
        <is>
          <t>Prospecting | Broad | EG</t>
        </is>
      </c>
      <c r="E842" t="inlineStr">
        <is>
          <t>TT-UGC-ProbSol</t>
        </is>
      </c>
      <c r="F842" t="n">
        <v>528.92</v>
      </c>
      <c r="G842" s="20" t="n">
        <v>12308</v>
      </c>
      <c r="H842" s="21" t="n">
        <v>138</v>
      </c>
      <c r="I842" s="21" t="n">
        <v>3</v>
      </c>
      <c r="J842" s="21" t="n">
        <v>1737.3</v>
      </c>
    </row>
    <row r="843">
      <c r="A843" s="19" t="n">
        <v>46248</v>
      </c>
      <c r="B843" t="inlineStr">
        <is>
          <t>TikTok</t>
        </is>
      </c>
      <c r="C843" t="inlineStr">
        <is>
          <t>UGC | Trend audio | v1</t>
        </is>
      </c>
      <c r="D843" t="inlineStr">
        <is>
          <t>Prospecting | Broad | EG</t>
        </is>
      </c>
      <c r="E843" t="inlineStr">
        <is>
          <t>TT-UGC-Trend</t>
        </is>
      </c>
      <c r="F843" t="n">
        <v>371.75</v>
      </c>
      <c r="G843" s="20" t="n">
        <v>8650</v>
      </c>
      <c r="H843" s="21" t="n">
        <v>97</v>
      </c>
      <c r="I843" s="21" t="n">
        <v>1</v>
      </c>
      <c r="J843" s="21" t="n">
        <v>574.3200000000001</v>
      </c>
    </row>
    <row r="844">
      <c r="A844" s="19" t="n">
        <v>46248</v>
      </c>
      <c r="B844" t="inlineStr">
        <is>
          <t>TikTok</t>
        </is>
      </c>
      <c r="C844" t="inlineStr">
        <is>
          <t>UGC | Trend audio | v2</t>
        </is>
      </c>
      <c r="D844" t="inlineStr">
        <is>
          <t>Prospecting | Broad | EG</t>
        </is>
      </c>
      <c r="E844" t="inlineStr">
        <is>
          <t>TT-UGC-Trend</t>
        </is>
      </c>
      <c r="F844" t="n">
        <v>266.06</v>
      </c>
      <c r="G844" s="20" t="n">
        <v>6191</v>
      </c>
      <c r="H844" s="21" t="n">
        <v>70</v>
      </c>
      <c r="I844" s="21" t="n">
        <v>1</v>
      </c>
      <c r="J844" s="21" t="n">
        <v>561.08</v>
      </c>
    </row>
    <row r="845">
      <c r="A845" s="19" t="n">
        <v>46248</v>
      </c>
      <c r="B845" t="inlineStr">
        <is>
          <t>TikTok</t>
        </is>
      </c>
      <c r="C845" t="inlineStr">
        <is>
          <t>Spark ad | Creator A</t>
        </is>
      </c>
      <c r="D845" t="inlineStr">
        <is>
          <t>Spark | Creator A</t>
        </is>
      </c>
      <c r="E845" t="inlineStr">
        <is>
          <t>TT-Spark-CreatorA</t>
        </is>
      </c>
      <c r="F845" t="n">
        <v>346.82</v>
      </c>
      <c r="G845" s="20" t="n">
        <v>8070</v>
      </c>
      <c r="H845" s="21" t="n">
        <v>91</v>
      </c>
      <c r="I845" s="21" t="n">
        <v>2</v>
      </c>
      <c r="J845" s="21" t="n">
        <v>1171.74</v>
      </c>
    </row>
    <row r="846">
      <c r="A846" s="19" t="n">
        <v>46249</v>
      </c>
      <c r="B846" t="inlineStr">
        <is>
          <t>TikTok</t>
        </is>
      </c>
      <c r="C846" t="inlineStr">
        <is>
          <t>UGC | Problem-solution | v2</t>
        </is>
      </c>
      <c r="D846" t="inlineStr">
        <is>
          <t>Prospecting | Broad | EG</t>
        </is>
      </c>
      <c r="E846" t="inlineStr">
        <is>
          <t>TT-UGC-ProbSol</t>
        </is>
      </c>
      <c r="F846" t="n">
        <v>507.79</v>
      </c>
      <c r="G846" s="20" t="n">
        <v>10638</v>
      </c>
      <c r="H846" s="21" t="n">
        <v>138</v>
      </c>
      <c r="I846" s="21" t="n">
        <v>2</v>
      </c>
      <c r="J846" s="21" t="n">
        <v>1212.54</v>
      </c>
    </row>
    <row r="847">
      <c r="A847" s="19" t="n">
        <v>46249</v>
      </c>
      <c r="B847" t="inlineStr">
        <is>
          <t>TikTok</t>
        </is>
      </c>
      <c r="C847" t="inlineStr">
        <is>
          <t>UGC | Trend audio | v1</t>
        </is>
      </c>
      <c r="D847" t="inlineStr">
        <is>
          <t>Prospecting | Broad | EG</t>
        </is>
      </c>
      <c r="E847" t="inlineStr">
        <is>
          <t>TT-UGC-Trend</t>
        </is>
      </c>
      <c r="F847" t="n">
        <v>322.61</v>
      </c>
      <c r="G847" s="20" t="n">
        <v>6759</v>
      </c>
      <c r="H847" s="21" t="n">
        <v>88</v>
      </c>
      <c r="I847" s="21" t="n">
        <v>1</v>
      </c>
      <c r="J847" s="21" t="n">
        <v>677.1799999999999</v>
      </c>
    </row>
    <row r="848">
      <c r="A848" s="19" t="n">
        <v>46249</v>
      </c>
      <c r="B848" t="inlineStr">
        <is>
          <t>TikTok</t>
        </is>
      </c>
      <c r="C848" t="inlineStr">
        <is>
          <t>UGC | Trend audio | v2</t>
        </is>
      </c>
      <c r="D848" t="inlineStr">
        <is>
          <t>Prospecting | Broad | EG</t>
        </is>
      </c>
      <c r="E848" t="inlineStr">
        <is>
          <t>TT-UGC-Trend</t>
        </is>
      </c>
      <c r="F848" t="n">
        <v>291.21</v>
      </c>
      <c r="G848" s="20" t="n">
        <v>6101</v>
      </c>
      <c r="H848" s="21" t="n">
        <v>79</v>
      </c>
      <c r="I848" s="21" t="n">
        <v>1</v>
      </c>
      <c r="J848" s="21" t="n">
        <v>700.59</v>
      </c>
    </row>
    <row r="849">
      <c r="A849" s="19" t="n">
        <v>46249</v>
      </c>
      <c r="B849" t="inlineStr">
        <is>
          <t>TikTok</t>
        </is>
      </c>
      <c r="C849" t="inlineStr">
        <is>
          <t>Spark ad | Creator A</t>
        </is>
      </c>
      <c r="D849" t="inlineStr">
        <is>
          <t>Spark | Creator A</t>
        </is>
      </c>
      <c r="E849" t="inlineStr">
        <is>
          <t>TT-Spark-CreatorA</t>
        </is>
      </c>
      <c r="F849" t="n">
        <v>445.94</v>
      </c>
      <c r="G849" s="20" t="n">
        <v>9342</v>
      </c>
      <c r="H849" s="21" t="n">
        <v>121</v>
      </c>
      <c r="I849" s="21" t="n">
        <v>3</v>
      </c>
      <c r="J849" s="21" t="n">
        <v>1831.81</v>
      </c>
    </row>
    <row r="850">
      <c r="A850" s="19" t="n">
        <v>46250</v>
      </c>
      <c r="B850" t="inlineStr">
        <is>
          <t>TikTok</t>
        </is>
      </c>
      <c r="C850" t="inlineStr">
        <is>
          <t>UGC | Problem-solution | v2</t>
        </is>
      </c>
      <c r="D850" t="inlineStr">
        <is>
          <t>Prospecting | Broad | EG</t>
        </is>
      </c>
      <c r="E850" t="inlineStr">
        <is>
          <t>TT-UGC-ProbSol</t>
        </is>
      </c>
      <c r="F850" t="n">
        <v>538.98</v>
      </c>
      <c r="G850" s="20" t="n">
        <v>11894</v>
      </c>
      <c r="H850" s="21" t="n">
        <v>138</v>
      </c>
      <c r="I850" s="21" t="n">
        <v>3</v>
      </c>
      <c r="J850" s="21" t="n">
        <v>1781.71</v>
      </c>
    </row>
    <row r="851">
      <c r="A851" s="19" t="n">
        <v>46250</v>
      </c>
      <c r="B851" t="inlineStr">
        <is>
          <t>TikTok</t>
        </is>
      </c>
      <c r="C851" t="inlineStr">
        <is>
          <t>UGC | Trend audio | v1</t>
        </is>
      </c>
      <c r="D851" t="inlineStr">
        <is>
          <t>Prospecting | Broad | EG</t>
        </is>
      </c>
      <c r="E851" t="inlineStr">
        <is>
          <t>TT-UGC-Trend</t>
        </is>
      </c>
      <c r="F851" t="n">
        <v>380.81</v>
      </c>
      <c r="G851" s="20" t="n">
        <v>8403</v>
      </c>
      <c r="H851" s="21" t="n">
        <v>97</v>
      </c>
      <c r="I851" s="21" t="n">
        <v>1</v>
      </c>
      <c r="J851" s="21" t="n">
        <v>655.91</v>
      </c>
    </row>
    <row r="852">
      <c r="A852" s="19" t="n">
        <v>46250</v>
      </c>
      <c r="B852" t="inlineStr">
        <is>
          <t>TikTok</t>
        </is>
      </c>
      <c r="C852" t="inlineStr">
        <is>
          <t>UGC | Trend audio | v2</t>
        </is>
      </c>
      <c r="D852" t="inlineStr">
        <is>
          <t>Prospecting | Broad | EG</t>
        </is>
      </c>
      <c r="E852" t="inlineStr">
        <is>
          <t>TT-UGC-Trend</t>
        </is>
      </c>
      <c r="F852" t="n">
        <v>278.28</v>
      </c>
      <c r="G852" s="20" t="n">
        <v>6141</v>
      </c>
      <c r="H852" s="21" t="n">
        <v>71</v>
      </c>
      <c r="I852" s="21" t="n">
        <v>1</v>
      </c>
      <c r="J852" s="21" t="n">
        <v>660.97</v>
      </c>
    </row>
    <row r="853">
      <c r="A853" s="19" t="n">
        <v>46250</v>
      </c>
      <c r="B853" t="inlineStr">
        <is>
          <t>TikTok</t>
        </is>
      </c>
      <c r="C853" t="inlineStr">
        <is>
          <t>Spark ad | Creator A</t>
        </is>
      </c>
      <c r="D853" t="inlineStr">
        <is>
          <t>Spark | Creator A</t>
        </is>
      </c>
      <c r="E853" t="inlineStr">
        <is>
          <t>TT-Spark-CreatorA</t>
        </is>
      </c>
      <c r="F853" t="n">
        <v>366.35</v>
      </c>
      <c r="G853" s="20" t="n">
        <v>8084</v>
      </c>
      <c r="H853" s="21" t="n">
        <v>94</v>
      </c>
      <c r="I853" s="21" t="n">
        <v>3</v>
      </c>
      <c r="J853" s="21" t="n">
        <v>1858.53</v>
      </c>
    </row>
    <row r="854">
      <c r="A854" s="19" t="n">
        <v>46251</v>
      </c>
      <c r="B854" t="inlineStr">
        <is>
          <t>TikTok</t>
        </is>
      </c>
      <c r="C854" t="inlineStr">
        <is>
          <t>UGC | Problem-solution | v2</t>
        </is>
      </c>
      <c r="D854" t="inlineStr">
        <is>
          <t>Prospecting | Broad | EG</t>
        </is>
      </c>
      <c r="E854" t="inlineStr">
        <is>
          <t>TT-UGC-ProbSol</t>
        </is>
      </c>
      <c r="F854" t="n">
        <v>422.54</v>
      </c>
      <c r="G854" s="20" t="n">
        <v>9667</v>
      </c>
      <c r="H854" s="21" t="n">
        <v>101</v>
      </c>
      <c r="I854" s="21" t="n">
        <v>1</v>
      </c>
      <c r="J854" s="21" t="n">
        <v>631.6799999999999</v>
      </c>
    </row>
    <row r="855">
      <c r="A855" s="19" t="n">
        <v>46251</v>
      </c>
      <c r="B855" t="inlineStr">
        <is>
          <t>TikTok</t>
        </is>
      </c>
      <c r="C855" t="inlineStr">
        <is>
          <t>UGC | Trend audio | v1</t>
        </is>
      </c>
      <c r="D855" t="inlineStr">
        <is>
          <t>Prospecting | Broad | EG</t>
        </is>
      </c>
      <c r="E855" t="inlineStr">
        <is>
          <t>TT-UGC-Trend</t>
        </is>
      </c>
      <c r="F855" t="n">
        <v>364.52</v>
      </c>
      <c r="G855" s="20" t="n">
        <v>8339</v>
      </c>
      <c r="H855" s="21" t="n">
        <v>87</v>
      </c>
      <c r="I855" s="21" t="n">
        <v>1</v>
      </c>
      <c r="J855" s="21" t="n">
        <v>671.14</v>
      </c>
    </row>
    <row r="856">
      <c r="A856" s="19" t="n">
        <v>46251</v>
      </c>
      <c r="B856" t="inlineStr">
        <is>
          <t>TikTok</t>
        </is>
      </c>
      <c r="C856" t="inlineStr">
        <is>
          <t>UGC | Trend audio | v2</t>
        </is>
      </c>
      <c r="D856" t="inlineStr">
        <is>
          <t>Prospecting | Broad | EG</t>
        </is>
      </c>
      <c r="E856" t="inlineStr">
        <is>
          <t>TT-UGC-Trend</t>
        </is>
      </c>
      <c r="F856" t="n">
        <v>280.83</v>
      </c>
      <c r="G856" s="20" t="n">
        <v>6425</v>
      </c>
      <c r="H856" s="21" t="n">
        <v>67</v>
      </c>
      <c r="I856" s="21" t="n">
        <v>1</v>
      </c>
      <c r="J856" s="21" t="n">
        <v>669.67</v>
      </c>
    </row>
    <row r="857">
      <c r="A857" s="19" t="n">
        <v>46251</v>
      </c>
      <c r="B857" t="inlineStr">
        <is>
          <t>TikTok</t>
        </is>
      </c>
      <c r="C857" t="inlineStr">
        <is>
          <t>Spark ad | Creator A</t>
        </is>
      </c>
      <c r="D857" t="inlineStr">
        <is>
          <t>Spark | Creator A</t>
        </is>
      </c>
      <c r="E857" t="inlineStr">
        <is>
          <t>TT-Spark-CreatorA</t>
        </is>
      </c>
      <c r="F857" t="n">
        <v>341.18</v>
      </c>
      <c r="G857" s="20" t="n">
        <v>7805</v>
      </c>
      <c r="H857" s="21" t="n">
        <v>82</v>
      </c>
      <c r="I857" s="21" t="n">
        <v>2</v>
      </c>
      <c r="J857" s="21" t="n">
        <v>1249</v>
      </c>
    </row>
    <row r="858">
      <c r="A858" s="19" t="n">
        <v>46252</v>
      </c>
      <c r="B858" t="inlineStr">
        <is>
          <t>TikTok</t>
        </is>
      </c>
      <c r="C858" t="inlineStr">
        <is>
          <t>UGC | Problem-solution | v2</t>
        </is>
      </c>
      <c r="D858" t="inlineStr">
        <is>
          <t>Prospecting | Broad | EG</t>
        </is>
      </c>
      <c r="E858" t="inlineStr">
        <is>
          <t>TT-UGC-ProbSol</t>
        </is>
      </c>
      <c r="F858" t="n">
        <v>504.49</v>
      </c>
      <c r="G858" s="20" t="n">
        <v>10878</v>
      </c>
      <c r="H858" s="21" t="n">
        <v>127</v>
      </c>
      <c r="I858" s="21" t="n">
        <v>2</v>
      </c>
      <c r="J858" s="21" t="n">
        <v>1242.8</v>
      </c>
    </row>
    <row r="859">
      <c r="A859" s="19" t="n">
        <v>46252</v>
      </c>
      <c r="B859" t="inlineStr">
        <is>
          <t>TikTok</t>
        </is>
      </c>
      <c r="C859" t="inlineStr">
        <is>
          <t>UGC | Trend audio | v1</t>
        </is>
      </c>
      <c r="D859" t="inlineStr">
        <is>
          <t>Prospecting | Broad | EG</t>
        </is>
      </c>
      <c r="E859" t="inlineStr">
        <is>
          <t>TT-UGC-Trend</t>
        </is>
      </c>
      <c r="F859" t="n">
        <v>361.16</v>
      </c>
      <c r="G859" s="20" t="n">
        <v>7787</v>
      </c>
      <c r="H859" s="21" t="n">
        <v>91</v>
      </c>
      <c r="I859" s="21" t="n">
        <v>1</v>
      </c>
      <c r="J859" s="21" t="n">
        <v>690.49</v>
      </c>
    </row>
    <row r="860">
      <c r="A860" s="19" t="n">
        <v>46252</v>
      </c>
      <c r="B860" t="inlineStr">
        <is>
          <t>TikTok</t>
        </is>
      </c>
      <c r="C860" t="inlineStr">
        <is>
          <t>UGC | Trend audio | v2</t>
        </is>
      </c>
      <c r="D860" t="inlineStr">
        <is>
          <t>Prospecting | Broad | EG</t>
        </is>
      </c>
      <c r="E860" t="inlineStr">
        <is>
          <t>TT-UGC-Trend</t>
        </is>
      </c>
      <c r="F860" t="n">
        <v>248.06</v>
      </c>
      <c r="G860" s="20" t="n">
        <v>5349</v>
      </c>
      <c r="H860" s="21" t="n">
        <v>62</v>
      </c>
      <c r="I860" s="21" t="n">
        <v>1</v>
      </c>
      <c r="J860" s="21" t="n">
        <v>645.58</v>
      </c>
    </row>
    <row r="861">
      <c r="A861" s="19" t="n">
        <v>46252</v>
      </c>
      <c r="B861" t="inlineStr">
        <is>
          <t>TikTok</t>
        </is>
      </c>
      <c r="C861" t="inlineStr">
        <is>
          <t>Spark ad | Creator A</t>
        </is>
      </c>
      <c r="D861" t="inlineStr">
        <is>
          <t>Spark | Creator A</t>
        </is>
      </c>
      <c r="E861" t="inlineStr">
        <is>
          <t>TT-Spark-CreatorA</t>
        </is>
      </c>
      <c r="F861" t="n">
        <v>354.74</v>
      </c>
      <c r="G861" s="20" t="n">
        <v>7649</v>
      </c>
      <c r="H861" s="21" t="n">
        <v>89</v>
      </c>
      <c r="I861" s="21" t="n">
        <v>1</v>
      </c>
      <c r="J861" s="21" t="n">
        <v>672.35</v>
      </c>
    </row>
    <row r="862">
      <c r="A862" s="19" t="n">
        <v>46253</v>
      </c>
      <c r="B862" t="inlineStr">
        <is>
          <t>TikTok</t>
        </is>
      </c>
      <c r="C862" t="inlineStr">
        <is>
          <t>UGC | Problem-solution | v2</t>
        </is>
      </c>
      <c r="D862" t="inlineStr">
        <is>
          <t>Prospecting | Broad | EG</t>
        </is>
      </c>
      <c r="E862" t="inlineStr">
        <is>
          <t>TT-UGC-ProbSol</t>
        </is>
      </c>
      <c r="F862" t="n">
        <v>521.84</v>
      </c>
      <c r="G862" s="20" t="n">
        <v>11167</v>
      </c>
      <c r="H862" s="21" t="n">
        <v>145</v>
      </c>
      <c r="I862" s="21" t="n">
        <v>3</v>
      </c>
      <c r="J862" s="21" t="n">
        <v>1813.23</v>
      </c>
    </row>
    <row r="863">
      <c r="A863" s="19" t="n">
        <v>46253</v>
      </c>
      <c r="B863" t="inlineStr">
        <is>
          <t>TikTok</t>
        </is>
      </c>
      <c r="C863" t="inlineStr">
        <is>
          <t>UGC | Trend audio | v1</t>
        </is>
      </c>
      <c r="D863" t="inlineStr">
        <is>
          <t>Prospecting | Broad | EG</t>
        </is>
      </c>
      <c r="E863" t="inlineStr">
        <is>
          <t>TT-UGC-Trend</t>
        </is>
      </c>
      <c r="F863" t="n">
        <v>374.09</v>
      </c>
      <c r="G863" s="20" t="n">
        <v>8005</v>
      </c>
      <c r="H863" s="21" t="n">
        <v>104</v>
      </c>
      <c r="I863" s="21" t="n">
        <v>1</v>
      </c>
      <c r="J863" s="21" t="n">
        <v>535.9</v>
      </c>
    </row>
    <row r="864">
      <c r="A864" s="19" t="n">
        <v>46253</v>
      </c>
      <c r="B864" t="inlineStr">
        <is>
          <t>TikTok</t>
        </is>
      </c>
      <c r="C864" t="inlineStr">
        <is>
          <t>UGC | Trend audio | v2</t>
        </is>
      </c>
      <c r="D864" t="inlineStr">
        <is>
          <t>Prospecting | Broad | EG</t>
        </is>
      </c>
      <c r="E864" t="inlineStr">
        <is>
          <t>TT-UGC-Trend</t>
        </is>
      </c>
      <c r="F864" t="n">
        <v>258.98</v>
      </c>
      <c r="G864" s="20" t="n">
        <v>5542</v>
      </c>
      <c r="H864" s="21" t="n">
        <v>72</v>
      </c>
      <c r="I864" s="21" t="n">
        <v>1</v>
      </c>
      <c r="J864" s="21" t="n">
        <v>506.44</v>
      </c>
    </row>
    <row r="865">
      <c r="A865" s="19" t="n">
        <v>46253</v>
      </c>
      <c r="B865" t="inlineStr">
        <is>
          <t>TikTok</t>
        </is>
      </c>
      <c r="C865" t="inlineStr">
        <is>
          <t>Spark ad | Creator A</t>
        </is>
      </c>
      <c r="D865" t="inlineStr">
        <is>
          <t>Spark | Creator A</t>
        </is>
      </c>
      <c r="E865" t="inlineStr">
        <is>
          <t>TT-Spark-CreatorA</t>
        </is>
      </c>
      <c r="F865" t="n">
        <v>357.02</v>
      </c>
      <c r="G865" s="20" t="n">
        <v>7640</v>
      </c>
      <c r="H865" s="21" t="n">
        <v>99</v>
      </c>
      <c r="I865" s="21" t="n">
        <v>3</v>
      </c>
      <c r="J865" s="21" t="n">
        <v>1693.03</v>
      </c>
    </row>
    <row r="866">
      <c r="A866" s="19" t="n">
        <v>46254</v>
      </c>
      <c r="B866" t="inlineStr">
        <is>
          <t>TikTok</t>
        </is>
      </c>
      <c r="C866" t="inlineStr">
        <is>
          <t>UGC | Problem-solution | v2</t>
        </is>
      </c>
      <c r="D866" t="inlineStr">
        <is>
          <t>Prospecting | Broad | EG</t>
        </is>
      </c>
      <c r="E866" t="inlineStr">
        <is>
          <t>TT-UGC-ProbSol</t>
        </is>
      </c>
      <c r="F866" t="n">
        <v>508.13</v>
      </c>
      <c r="G866" s="20" t="n">
        <v>10677</v>
      </c>
      <c r="H866" s="21" t="n">
        <v>130</v>
      </c>
      <c r="I866" s="21" t="n">
        <v>2</v>
      </c>
      <c r="J866" s="21" t="n">
        <v>1239.3</v>
      </c>
    </row>
    <row r="867">
      <c r="A867" s="19" t="n">
        <v>46254</v>
      </c>
      <c r="B867" t="inlineStr">
        <is>
          <t>TikTok</t>
        </is>
      </c>
      <c r="C867" t="inlineStr">
        <is>
          <t>UGC | Trend audio | v1</t>
        </is>
      </c>
      <c r="D867" t="inlineStr">
        <is>
          <t>Prospecting | Broad | EG</t>
        </is>
      </c>
      <c r="E867" t="inlineStr">
        <is>
          <t>TT-UGC-Trend</t>
        </is>
      </c>
      <c r="F867" t="n">
        <v>290.46</v>
      </c>
      <c r="G867" s="20" t="n">
        <v>6103</v>
      </c>
      <c r="H867" s="21" t="n">
        <v>74</v>
      </c>
      <c r="I867" s="21" t="n">
        <v>1</v>
      </c>
      <c r="J867" s="21" t="n">
        <v>558.0599999999999</v>
      </c>
    </row>
    <row r="868">
      <c r="A868" s="19" t="n">
        <v>46254</v>
      </c>
      <c r="B868" t="inlineStr">
        <is>
          <t>TikTok</t>
        </is>
      </c>
      <c r="C868" t="inlineStr">
        <is>
          <t>UGC | Trend audio | v2</t>
        </is>
      </c>
      <c r="D868" t="inlineStr">
        <is>
          <t>Prospecting | Broad | EG</t>
        </is>
      </c>
      <c r="E868" t="inlineStr">
        <is>
          <t>TT-UGC-Trend</t>
        </is>
      </c>
      <c r="F868" t="n">
        <v>259.24</v>
      </c>
      <c r="G868" s="20" t="n">
        <v>5447</v>
      </c>
      <c r="H868" s="21" t="n">
        <v>66</v>
      </c>
      <c r="I868" s="21" t="n">
        <v>1</v>
      </c>
      <c r="J868" s="21" t="n">
        <v>559.67</v>
      </c>
    </row>
    <row r="869">
      <c r="A869" s="19" t="n">
        <v>46254</v>
      </c>
      <c r="B869" t="inlineStr">
        <is>
          <t>TikTok</t>
        </is>
      </c>
      <c r="C869" t="inlineStr">
        <is>
          <t>Spark ad | Creator A</t>
        </is>
      </c>
      <c r="D869" t="inlineStr">
        <is>
          <t>Spark | Creator A</t>
        </is>
      </c>
      <c r="E869" t="inlineStr">
        <is>
          <t>TT-Spark-CreatorA</t>
        </is>
      </c>
      <c r="F869" t="n">
        <v>343.11</v>
      </c>
      <c r="G869" s="20" t="n">
        <v>7210</v>
      </c>
      <c r="H869" s="21" t="n">
        <v>88</v>
      </c>
      <c r="I869" s="21" t="n">
        <v>2</v>
      </c>
      <c r="J869" s="21" t="n">
        <v>1355.58</v>
      </c>
    </row>
    <row r="870">
      <c r="A870" s="19" t="n">
        <v>46255</v>
      </c>
      <c r="B870" t="inlineStr">
        <is>
          <t>TikTok</t>
        </is>
      </c>
      <c r="C870" t="inlineStr">
        <is>
          <t>UGC | Problem-solution | v2</t>
        </is>
      </c>
      <c r="D870" t="inlineStr">
        <is>
          <t>Prospecting | Broad | EG</t>
        </is>
      </c>
      <c r="E870" t="inlineStr">
        <is>
          <t>TT-UGC-ProbSol</t>
        </is>
      </c>
      <c r="F870" t="n">
        <v>582.4299999999999</v>
      </c>
      <c r="G870" s="20" t="n">
        <v>12720</v>
      </c>
      <c r="H870" s="21" t="n">
        <v>151</v>
      </c>
      <c r="I870" s="21" t="n">
        <v>3</v>
      </c>
      <c r="J870" s="21" t="n">
        <v>1791.27</v>
      </c>
    </row>
    <row r="871">
      <c r="A871" s="19" t="n">
        <v>46255</v>
      </c>
      <c r="B871" t="inlineStr">
        <is>
          <t>TikTok</t>
        </is>
      </c>
      <c r="C871" t="inlineStr">
        <is>
          <t>UGC | Trend audio | v1</t>
        </is>
      </c>
      <c r="D871" t="inlineStr">
        <is>
          <t>Prospecting | Broad | EG</t>
        </is>
      </c>
      <c r="E871" t="inlineStr">
        <is>
          <t>TT-UGC-Trend</t>
        </is>
      </c>
      <c r="F871" t="n">
        <v>361.83</v>
      </c>
      <c r="G871" s="20" t="n">
        <v>7902</v>
      </c>
      <c r="H871" s="21" t="n">
        <v>94</v>
      </c>
      <c r="I871" s="21" t="n">
        <v>1</v>
      </c>
      <c r="J871" s="21" t="n">
        <v>557.14</v>
      </c>
    </row>
    <row r="872">
      <c r="A872" s="19" t="n">
        <v>46255</v>
      </c>
      <c r="B872" t="inlineStr">
        <is>
          <t>TikTok</t>
        </is>
      </c>
      <c r="C872" t="inlineStr">
        <is>
          <t>UGC | Trend audio | v2</t>
        </is>
      </c>
      <c r="D872" t="inlineStr">
        <is>
          <t>Prospecting | Broad | EG</t>
        </is>
      </c>
      <c r="E872" t="inlineStr">
        <is>
          <t>TT-UGC-Trend</t>
        </is>
      </c>
      <c r="F872" t="n">
        <v>288.28</v>
      </c>
      <c r="G872" s="20" t="n">
        <v>6296</v>
      </c>
      <c r="H872" s="21" t="n">
        <v>75</v>
      </c>
      <c r="I872" s="21" t="n">
        <v>2</v>
      </c>
      <c r="J872" s="21" t="n">
        <v>1232.03</v>
      </c>
    </row>
    <row r="873">
      <c r="A873" s="19" t="n">
        <v>46255</v>
      </c>
      <c r="B873" t="inlineStr">
        <is>
          <t>TikTok</t>
        </is>
      </c>
      <c r="C873" t="inlineStr">
        <is>
          <t>Spark ad | Creator A</t>
        </is>
      </c>
      <c r="D873" t="inlineStr">
        <is>
          <t>Spark | Creator A</t>
        </is>
      </c>
      <c r="E873" t="inlineStr">
        <is>
          <t>TT-Spark-CreatorA</t>
        </is>
      </c>
      <c r="F873" t="n">
        <v>374.81</v>
      </c>
      <c r="G873" s="20" t="n">
        <v>8186</v>
      </c>
      <c r="H873" s="21" t="n">
        <v>97</v>
      </c>
      <c r="I873" s="21" t="n">
        <v>3</v>
      </c>
      <c r="J873" s="21" t="n">
        <v>1787.22</v>
      </c>
    </row>
    <row r="874">
      <c r="A874" s="19" t="n">
        <v>46256</v>
      </c>
      <c r="B874" t="inlineStr">
        <is>
          <t>TikTok</t>
        </is>
      </c>
      <c r="C874" t="inlineStr">
        <is>
          <t>UGC | Problem-solution | v2</t>
        </is>
      </c>
      <c r="D874" t="inlineStr">
        <is>
          <t>Prospecting | Broad | EG</t>
        </is>
      </c>
      <c r="E874" t="inlineStr">
        <is>
          <t>TT-UGC-ProbSol</t>
        </is>
      </c>
      <c r="F874" t="n">
        <v>618.72</v>
      </c>
      <c r="G874" s="20" t="n">
        <v>12603</v>
      </c>
      <c r="H874" s="21" t="n">
        <v>167</v>
      </c>
      <c r="I874" s="21" t="n">
        <v>3</v>
      </c>
      <c r="J874" s="21" t="n">
        <v>1831.47</v>
      </c>
    </row>
    <row r="875">
      <c r="A875" s="19" t="n">
        <v>46256</v>
      </c>
      <c r="B875" t="inlineStr">
        <is>
          <t>TikTok</t>
        </is>
      </c>
      <c r="C875" t="inlineStr">
        <is>
          <t>UGC | Trend audio | v1</t>
        </is>
      </c>
      <c r="D875" t="inlineStr">
        <is>
          <t>Prospecting | Broad | EG</t>
        </is>
      </c>
      <c r="E875" t="inlineStr">
        <is>
          <t>TT-UGC-Trend</t>
        </is>
      </c>
      <c r="F875" t="n">
        <v>445.31</v>
      </c>
      <c r="G875" s="20" t="n">
        <v>9070</v>
      </c>
      <c r="H875" s="21" t="n">
        <v>120</v>
      </c>
      <c r="I875" s="21" t="n">
        <v>2</v>
      </c>
      <c r="J875" s="21" t="n">
        <v>1215.72</v>
      </c>
    </row>
    <row r="876">
      <c r="A876" s="19" t="n">
        <v>46256</v>
      </c>
      <c r="B876" t="inlineStr">
        <is>
          <t>TikTok</t>
        </is>
      </c>
      <c r="C876" t="inlineStr">
        <is>
          <t>UGC | Trend audio | v2</t>
        </is>
      </c>
      <c r="D876" t="inlineStr">
        <is>
          <t>Prospecting | Broad | EG</t>
        </is>
      </c>
      <c r="E876" t="inlineStr">
        <is>
          <t>TT-UGC-Trend</t>
        </is>
      </c>
      <c r="F876" t="n">
        <v>281.63</v>
      </c>
      <c r="G876" s="20" t="n">
        <v>5737</v>
      </c>
      <c r="H876" s="21" t="n">
        <v>76</v>
      </c>
      <c r="I876" s="21" t="n">
        <v>1</v>
      </c>
      <c r="J876" s="21" t="n">
        <v>595.25</v>
      </c>
    </row>
    <row r="877">
      <c r="A877" s="19" t="n">
        <v>46256</v>
      </c>
      <c r="B877" t="inlineStr">
        <is>
          <t>TikTok</t>
        </is>
      </c>
      <c r="C877" t="inlineStr">
        <is>
          <t>Spark ad | Creator A</t>
        </is>
      </c>
      <c r="D877" t="inlineStr">
        <is>
          <t>Spark | Creator A</t>
        </is>
      </c>
      <c r="E877" t="inlineStr">
        <is>
          <t>TT-Spark-CreatorA</t>
        </is>
      </c>
      <c r="F877" t="n">
        <v>374.17</v>
      </c>
      <c r="G877" s="20" t="n">
        <v>7621</v>
      </c>
      <c r="H877" s="21" t="n">
        <v>101</v>
      </c>
      <c r="I877" s="21" t="n">
        <v>3</v>
      </c>
      <c r="J877" s="21" t="n">
        <v>1773.04</v>
      </c>
    </row>
    <row r="878">
      <c r="A878" s="19" t="n">
        <v>46257</v>
      </c>
      <c r="B878" t="inlineStr">
        <is>
          <t>TikTok</t>
        </is>
      </c>
      <c r="C878" t="inlineStr">
        <is>
          <t>UGC | Problem-solution | v2</t>
        </is>
      </c>
      <c r="D878" t="inlineStr">
        <is>
          <t>Prospecting | Broad | EG</t>
        </is>
      </c>
      <c r="E878" t="inlineStr">
        <is>
          <t>TT-UGC-ProbSol</t>
        </is>
      </c>
      <c r="F878" t="n">
        <v>474.87</v>
      </c>
      <c r="G878" s="20" t="n">
        <v>10180</v>
      </c>
      <c r="H878" s="21" t="n">
        <v>106</v>
      </c>
      <c r="I878" s="21" t="n">
        <v>3</v>
      </c>
      <c r="J878" s="21" t="n">
        <v>1812.81</v>
      </c>
    </row>
    <row r="879">
      <c r="A879" s="19" t="n">
        <v>46257</v>
      </c>
      <c r="B879" t="inlineStr">
        <is>
          <t>TikTok</t>
        </is>
      </c>
      <c r="C879" t="inlineStr">
        <is>
          <t>UGC | Trend audio | v1</t>
        </is>
      </c>
      <c r="D879" t="inlineStr">
        <is>
          <t>Prospecting | Broad | EG</t>
        </is>
      </c>
      <c r="E879" t="inlineStr">
        <is>
          <t>TT-UGC-Trend</t>
        </is>
      </c>
      <c r="F879" t="n">
        <v>359.13</v>
      </c>
      <c r="G879" s="20" t="n">
        <v>7699</v>
      </c>
      <c r="H879" s="21" t="n">
        <v>81</v>
      </c>
      <c r="I879" s="21" t="n">
        <v>1</v>
      </c>
      <c r="J879" s="21" t="n">
        <v>509.8</v>
      </c>
    </row>
    <row r="880">
      <c r="A880" s="19" t="n">
        <v>46257</v>
      </c>
      <c r="B880" t="inlineStr">
        <is>
          <t>TikTok</t>
        </is>
      </c>
      <c r="C880" t="inlineStr">
        <is>
          <t>UGC | Trend audio | v2</t>
        </is>
      </c>
      <c r="D880" t="inlineStr">
        <is>
          <t>Prospecting | Broad | EG</t>
        </is>
      </c>
      <c r="E880" t="inlineStr">
        <is>
          <t>TT-UGC-Trend</t>
        </is>
      </c>
      <c r="F880" t="n">
        <v>248.23</v>
      </c>
      <c r="G880" s="20" t="n">
        <v>5321</v>
      </c>
      <c r="H880" s="21" t="n">
        <v>56</v>
      </c>
      <c r="I880" s="21" t="n">
        <v>1</v>
      </c>
      <c r="J880" s="21" t="n">
        <v>569.4400000000001</v>
      </c>
    </row>
    <row r="881">
      <c r="A881" s="19" t="n">
        <v>46257</v>
      </c>
      <c r="B881" t="inlineStr">
        <is>
          <t>TikTok</t>
        </is>
      </c>
      <c r="C881" t="inlineStr">
        <is>
          <t>Spark ad | Creator A</t>
        </is>
      </c>
      <c r="D881" t="inlineStr">
        <is>
          <t>Spark | Creator A</t>
        </is>
      </c>
      <c r="E881" t="inlineStr">
        <is>
          <t>TT-Spark-CreatorA</t>
        </is>
      </c>
      <c r="F881" t="n">
        <v>407.28</v>
      </c>
      <c r="G881" s="20" t="n">
        <v>8731</v>
      </c>
      <c r="H881" s="21" t="n">
        <v>91</v>
      </c>
      <c r="I881" s="21" t="n">
        <v>3</v>
      </c>
      <c r="J881" s="21" t="n">
        <v>1641.07</v>
      </c>
    </row>
    <row r="882">
      <c r="A882" s="19" t="n">
        <v>46258</v>
      </c>
      <c r="B882" t="inlineStr">
        <is>
          <t>TikTok</t>
        </is>
      </c>
      <c r="C882" t="inlineStr">
        <is>
          <t>UGC | Problem-solution | v2</t>
        </is>
      </c>
      <c r="D882" t="inlineStr">
        <is>
          <t>Prospecting | Broad | EG</t>
        </is>
      </c>
      <c r="E882" t="inlineStr">
        <is>
          <t>TT-UGC-ProbSol</t>
        </is>
      </c>
      <c r="F882" t="n">
        <v>431.35</v>
      </c>
      <c r="G882" s="20" t="n">
        <v>9384</v>
      </c>
      <c r="H882" s="21" t="n">
        <v>94</v>
      </c>
      <c r="I882" s="21" t="n">
        <v>1</v>
      </c>
      <c r="J882" s="21" t="n">
        <v>617.63</v>
      </c>
    </row>
    <row r="883">
      <c r="A883" s="19" t="n">
        <v>46258</v>
      </c>
      <c r="B883" t="inlineStr">
        <is>
          <t>TikTok</t>
        </is>
      </c>
      <c r="C883" t="inlineStr">
        <is>
          <t>UGC | Trend audio | v1</t>
        </is>
      </c>
      <c r="D883" t="inlineStr">
        <is>
          <t>Prospecting | Broad | EG</t>
        </is>
      </c>
      <c r="E883" t="inlineStr">
        <is>
          <t>TT-UGC-Trend</t>
        </is>
      </c>
      <c r="F883" t="n">
        <v>383.5</v>
      </c>
      <c r="G883" s="20" t="n">
        <v>8343</v>
      </c>
      <c r="H883" s="21" t="n">
        <v>84</v>
      </c>
      <c r="I883" s="21" t="n">
        <v>1</v>
      </c>
      <c r="J883" s="21" t="n">
        <v>655.5700000000001</v>
      </c>
    </row>
    <row r="884">
      <c r="A884" s="19" t="n">
        <v>46258</v>
      </c>
      <c r="B884" t="inlineStr">
        <is>
          <t>TikTok</t>
        </is>
      </c>
      <c r="C884" t="inlineStr">
        <is>
          <t>UGC | Trend audio | v2</t>
        </is>
      </c>
      <c r="D884" t="inlineStr">
        <is>
          <t>Prospecting | Broad | EG</t>
        </is>
      </c>
      <c r="E884" t="inlineStr">
        <is>
          <t>TT-UGC-Trend</t>
        </is>
      </c>
      <c r="F884" t="n">
        <v>243.06</v>
      </c>
      <c r="G884" s="20" t="n">
        <v>5288</v>
      </c>
      <c r="H884" s="21" t="n">
        <v>53</v>
      </c>
      <c r="I884" s="21" t="n">
        <v>1</v>
      </c>
      <c r="J884" s="21" t="n">
        <v>621.12</v>
      </c>
    </row>
    <row r="885">
      <c r="A885" s="19" t="n">
        <v>46258</v>
      </c>
      <c r="B885" t="inlineStr">
        <is>
          <t>TikTok</t>
        </is>
      </c>
      <c r="C885" t="inlineStr">
        <is>
          <t>Spark ad | Creator A</t>
        </is>
      </c>
      <c r="D885" t="inlineStr">
        <is>
          <t>Spark | Creator A</t>
        </is>
      </c>
      <c r="E885" t="inlineStr">
        <is>
          <t>TT-Spark-CreatorA</t>
        </is>
      </c>
      <c r="F885" t="n">
        <v>381.75</v>
      </c>
      <c r="G885" s="20" t="n">
        <v>8305</v>
      </c>
      <c r="H885" s="21" t="n">
        <v>84</v>
      </c>
      <c r="I885" s="21" t="n">
        <v>2</v>
      </c>
      <c r="J885" s="21" t="n">
        <v>1175.78</v>
      </c>
    </row>
    <row r="886">
      <c r="A886" s="19" t="n">
        <v>46259</v>
      </c>
      <c r="B886" t="inlineStr">
        <is>
          <t>TikTok</t>
        </is>
      </c>
      <c r="C886" t="inlineStr">
        <is>
          <t>UGC | Problem-solution | v2</t>
        </is>
      </c>
      <c r="D886" t="inlineStr">
        <is>
          <t>Prospecting | Broad | EG</t>
        </is>
      </c>
      <c r="E886" t="inlineStr">
        <is>
          <t>TT-UGC-ProbSol</t>
        </is>
      </c>
      <c r="F886" t="n">
        <v>433.92</v>
      </c>
      <c r="G886" s="20" t="n">
        <v>9465</v>
      </c>
      <c r="H886" s="21" t="n">
        <v>119</v>
      </c>
      <c r="I886" s="21" t="n">
        <v>3</v>
      </c>
      <c r="J886" s="21" t="n">
        <v>1682.4</v>
      </c>
    </row>
    <row r="887">
      <c r="A887" s="19" t="n">
        <v>46259</v>
      </c>
      <c r="B887" t="inlineStr">
        <is>
          <t>TikTok</t>
        </is>
      </c>
      <c r="C887" t="inlineStr">
        <is>
          <t>UGC | Trend audio | v1</t>
        </is>
      </c>
      <c r="D887" t="inlineStr">
        <is>
          <t>Prospecting | Broad | EG</t>
        </is>
      </c>
      <c r="E887" t="inlineStr">
        <is>
          <t>TT-UGC-Trend</t>
        </is>
      </c>
      <c r="F887" t="n">
        <v>273.99</v>
      </c>
      <c r="G887" s="20" t="n">
        <v>5976</v>
      </c>
      <c r="H887" s="21" t="n">
        <v>75</v>
      </c>
      <c r="I887" s="21" t="n">
        <v>1</v>
      </c>
      <c r="J887" s="21" t="n">
        <v>539.0599999999999</v>
      </c>
    </row>
    <row r="888">
      <c r="A888" s="19" t="n">
        <v>46259</v>
      </c>
      <c r="B888" t="inlineStr">
        <is>
          <t>TikTok</t>
        </is>
      </c>
      <c r="C888" t="inlineStr">
        <is>
          <t>UGC | Trend audio | v2</t>
        </is>
      </c>
      <c r="D888" t="inlineStr">
        <is>
          <t>Prospecting | Broad | EG</t>
        </is>
      </c>
      <c r="E888" t="inlineStr">
        <is>
          <t>TT-UGC-Trend</t>
        </is>
      </c>
      <c r="F888" t="n">
        <v>270.49</v>
      </c>
      <c r="G888" s="20" t="n">
        <v>5900</v>
      </c>
      <c r="H888" s="21" t="n">
        <v>74</v>
      </c>
      <c r="I888" s="21" t="n">
        <v>1</v>
      </c>
      <c r="J888" s="21" t="n">
        <v>564.86</v>
      </c>
    </row>
    <row r="889">
      <c r="A889" s="19" t="n">
        <v>46259</v>
      </c>
      <c r="B889" t="inlineStr">
        <is>
          <t>TikTok</t>
        </is>
      </c>
      <c r="C889" t="inlineStr">
        <is>
          <t>Spark ad | Creator A</t>
        </is>
      </c>
      <c r="D889" t="inlineStr">
        <is>
          <t>Spark | Creator A</t>
        </is>
      </c>
      <c r="E889" t="inlineStr">
        <is>
          <t>TT-Spark-CreatorA</t>
        </is>
      </c>
      <c r="F889" t="n">
        <v>389.05</v>
      </c>
      <c r="G889" s="20" t="n">
        <v>8486</v>
      </c>
      <c r="H889" s="21" t="n">
        <v>107</v>
      </c>
      <c r="I889" s="21" t="n">
        <v>3</v>
      </c>
      <c r="J889" s="21" t="n">
        <v>1728.83</v>
      </c>
    </row>
    <row r="890">
      <c r="A890" s="19" t="n">
        <v>46260</v>
      </c>
      <c r="B890" t="inlineStr">
        <is>
          <t>TikTok</t>
        </is>
      </c>
      <c r="C890" t="inlineStr">
        <is>
          <t>UGC | Problem-solution | v2</t>
        </is>
      </c>
      <c r="D890" t="inlineStr">
        <is>
          <t>Prospecting | Broad | EG</t>
        </is>
      </c>
      <c r="E890" t="inlineStr">
        <is>
          <t>TT-UGC-ProbSol</t>
        </is>
      </c>
      <c r="F890" t="n">
        <v>497.45</v>
      </c>
      <c r="G890" s="20" t="n">
        <v>11139</v>
      </c>
      <c r="H890" s="21" t="n">
        <v>130</v>
      </c>
      <c r="I890" s="21" t="n">
        <v>2</v>
      </c>
      <c r="J890" s="21" t="n">
        <v>1219.99</v>
      </c>
    </row>
    <row r="891">
      <c r="A891" s="19" t="n">
        <v>46260</v>
      </c>
      <c r="B891" t="inlineStr">
        <is>
          <t>TikTok</t>
        </is>
      </c>
      <c r="C891" t="inlineStr">
        <is>
          <t>UGC | Trend audio | v1</t>
        </is>
      </c>
      <c r="D891" t="inlineStr">
        <is>
          <t>Prospecting | Broad | EG</t>
        </is>
      </c>
      <c r="E891" t="inlineStr">
        <is>
          <t>TT-UGC-Trend</t>
        </is>
      </c>
      <c r="F891" t="n">
        <v>344.56</v>
      </c>
      <c r="G891" s="20" t="n">
        <v>7715</v>
      </c>
      <c r="H891" s="21" t="n">
        <v>90</v>
      </c>
      <c r="I891" s="21" t="n">
        <v>1</v>
      </c>
      <c r="J891" s="21" t="n">
        <v>601.14</v>
      </c>
    </row>
    <row r="892">
      <c r="A892" s="19" t="n">
        <v>46260</v>
      </c>
      <c r="B892" t="inlineStr">
        <is>
          <t>TikTok</t>
        </is>
      </c>
      <c r="C892" t="inlineStr">
        <is>
          <t>UGC | Trend audio | v2</t>
        </is>
      </c>
      <c r="D892" t="inlineStr">
        <is>
          <t>Prospecting | Broad | EG</t>
        </is>
      </c>
      <c r="E892" t="inlineStr">
        <is>
          <t>TT-UGC-Trend</t>
        </is>
      </c>
      <c r="F892" t="n">
        <v>263.16</v>
      </c>
      <c r="G892" s="20" t="n">
        <v>5893</v>
      </c>
      <c r="H892" s="21" t="n">
        <v>69</v>
      </c>
      <c r="I892" s="21" t="n">
        <v>1</v>
      </c>
      <c r="J892" s="21" t="n">
        <v>593.88</v>
      </c>
    </row>
    <row r="893">
      <c r="A893" s="19" t="n">
        <v>46260</v>
      </c>
      <c r="B893" t="inlineStr">
        <is>
          <t>TikTok</t>
        </is>
      </c>
      <c r="C893" t="inlineStr">
        <is>
          <t>Spark ad | Creator A</t>
        </is>
      </c>
      <c r="D893" t="inlineStr">
        <is>
          <t>Spark | Creator A</t>
        </is>
      </c>
      <c r="E893" t="inlineStr">
        <is>
          <t>TT-Spark-CreatorA</t>
        </is>
      </c>
      <c r="F893" t="n">
        <v>295.01</v>
      </c>
      <c r="G893" s="20" t="n">
        <v>6606</v>
      </c>
      <c r="H893" s="21" t="n">
        <v>77</v>
      </c>
      <c r="I893" s="21" t="n">
        <v>2</v>
      </c>
      <c r="J893" s="21" t="n">
        <v>1265.93</v>
      </c>
    </row>
    <row r="894">
      <c r="A894" s="19" t="n">
        <v>46261</v>
      </c>
      <c r="B894" t="inlineStr">
        <is>
          <t>TikTok</t>
        </is>
      </c>
      <c r="C894" t="inlineStr">
        <is>
          <t>UGC | Problem-solution | v2</t>
        </is>
      </c>
      <c r="D894" t="inlineStr">
        <is>
          <t>Prospecting | Broad | EG</t>
        </is>
      </c>
      <c r="E894" t="inlineStr">
        <is>
          <t>TT-UGC-ProbSol</t>
        </is>
      </c>
      <c r="F894" t="n">
        <v>446.15</v>
      </c>
      <c r="G894" s="20" t="n">
        <v>9396</v>
      </c>
      <c r="H894" s="21" t="n">
        <v>101</v>
      </c>
      <c r="I894" s="21" t="n">
        <v>2</v>
      </c>
      <c r="J894" s="21" t="n">
        <v>1370.78</v>
      </c>
    </row>
    <row r="895">
      <c r="A895" s="19" t="n">
        <v>46261</v>
      </c>
      <c r="B895" t="inlineStr">
        <is>
          <t>TikTok</t>
        </is>
      </c>
      <c r="C895" t="inlineStr">
        <is>
          <t>UGC | Trend audio | v1</t>
        </is>
      </c>
      <c r="D895" t="inlineStr">
        <is>
          <t>Prospecting | Broad | EG</t>
        </is>
      </c>
      <c r="E895" t="inlineStr">
        <is>
          <t>TT-UGC-Trend</t>
        </is>
      </c>
      <c r="F895" t="n">
        <v>318.39</v>
      </c>
      <c r="G895" s="20" t="n">
        <v>6706</v>
      </c>
      <c r="H895" s="21" t="n">
        <v>72</v>
      </c>
      <c r="I895" s="21" t="n">
        <v>1</v>
      </c>
      <c r="J895" s="21" t="n">
        <v>635.33</v>
      </c>
    </row>
    <row r="896">
      <c r="A896" s="19" t="n">
        <v>46261</v>
      </c>
      <c r="B896" t="inlineStr">
        <is>
          <t>TikTok</t>
        </is>
      </c>
      <c r="C896" t="inlineStr">
        <is>
          <t>UGC | Trend audio | v2</t>
        </is>
      </c>
      <c r="D896" t="inlineStr">
        <is>
          <t>Prospecting | Broad | EG</t>
        </is>
      </c>
      <c r="E896" t="inlineStr">
        <is>
          <t>TT-UGC-Trend</t>
        </is>
      </c>
      <c r="F896" t="n">
        <v>298.38</v>
      </c>
      <c r="G896" s="20" t="n">
        <v>6284</v>
      </c>
      <c r="H896" s="21" t="n">
        <v>67</v>
      </c>
      <c r="I896" s="21" t="n">
        <v>1</v>
      </c>
      <c r="J896" s="21" t="n">
        <v>674.08</v>
      </c>
    </row>
    <row r="897">
      <c r="A897" s="19" t="n">
        <v>46261</v>
      </c>
      <c r="B897" t="inlineStr">
        <is>
          <t>TikTok</t>
        </is>
      </c>
      <c r="C897" t="inlineStr">
        <is>
          <t>Spark ad | Creator A</t>
        </is>
      </c>
      <c r="D897" t="inlineStr">
        <is>
          <t>Spark | Creator A</t>
        </is>
      </c>
      <c r="E897" t="inlineStr">
        <is>
          <t>TT-Spark-CreatorA</t>
        </is>
      </c>
      <c r="F897" t="n">
        <v>448.16</v>
      </c>
      <c r="G897" s="20" t="n">
        <v>9439</v>
      </c>
      <c r="H897" s="21" t="n">
        <v>101</v>
      </c>
      <c r="I897" s="21" t="n">
        <v>2</v>
      </c>
      <c r="J897" s="21" t="n">
        <v>1392.23</v>
      </c>
    </row>
    <row r="898">
      <c r="A898" s="19" t="n">
        <v>46262</v>
      </c>
      <c r="B898" t="inlineStr">
        <is>
          <t>TikTok</t>
        </is>
      </c>
      <c r="C898" t="inlineStr">
        <is>
          <t>UGC | Problem-solution | v2</t>
        </is>
      </c>
      <c r="D898" t="inlineStr">
        <is>
          <t>Prospecting | Broad | EG</t>
        </is>
      </c>
      <c r="E898" t="inlineStr">
        <is>
          <t>TT-UGC-ProbSol</t>
        </is>
      </c>
      <c r="F898" t="n">
        <v>576.36</v>
      </c>
      <c r="G898" s="20" t="n">
        <v>12199</v>
      </c>
      <c r="H898" s="21" t="n">
        <v>126</v>
      </c>
      <c r="I898" s="21" t="n">
        <v>3</v>
      </c>
      <c r="J898" s="21" t="n">
        <v>1833.74</v>
      </c>
    </row>
    <row r="899">
      <c r="A899" s="19" t="n">
        <v>46262</v>
      </c>
      <c r="B899" t="inlineStr">
        <is>
          <t>TikTok</t>
        </is>
      </c>
      <c r="C899" t="inlineStr">
        <is>
          <t>UGC | Trend audio | v1</t>
        </is>
      </c>
      <c r="D899" t="inlineStr">
        <is>
          <t>Prospecting | Broad | EG</t>
        </is>
      </c>
      <c r="E899" t="inlineStr">
        <is>
          <t>TT-UGC-Trend</t>
        </is>
      </c>
      <c r="F899" t="n">
        <v>428.69</v>
      </c>
      <c r="G899" s="20" t="n">
        <v>9073</v>
      </c>
      <c r="H899" s="21" t="n">
        <v>94</v>
      </c>
      <c r="I899" s="21" t="n">
        <v>1</v>
      </c>
      <c r="J899" s="21" t="n">
        <v>572.87</v>
      </c>
    </row>
    <row r="900">
      <c r="A900" s="19" t="n">
        <v>46262</v>
      </c>
      <c r="B900" t="inlineStr">
        <is>
          <t>TikTok</t>
        </is>
      </c>
      <c r="C900" t="inlineStr">
        <is>
          <t>UGC | Trend audio | v2</t>
        </is>
      </c>
      <c r="D900" t="inlineStr">
        <is>
          <t>Prospecting | Broad | EG</t>
        </is>
      </c>
      <c r="E900" t="inlineStr">
        <is>
          <t>TT-UGC-Trend</t>
        </is>
      </c>
      <c r="F900" t="n">
        <v>326.36</v>
      </c>
      <c r="G900" s="20" t="n">
        <v>6907</v>
      </c>
      <c r="H900" s="21" t="n">
        <v>72</v>
      </c>
      <c r="I900" s="21" t="n">
        <v>2</v>
      </c>
      <c r="J900" s="21" t="n">
        <v>1162.9</v>
      </c>
    </row>
    <row r="901">
      <c r="A901" s="19" t="n">
        <v>46262</v>
      </c>
      <c r="B901" t="inlineStr">
        <is>
          <t>TikTok</t>
        </is>
      </c>
      <c r="C901" t="inlineStr">
        <is>
          <t>Spark ad | Creator A</t>
        </is>
      </c>
      <c r="D901" t="inlineStr">
        <is>
          <t>Spark | Creator A</t>
        </is>
      </c>
      <c r="E901" t="inlineStr">
        <is>
          <t>TT-Spark-CreatorA</t>
        </is>
      </c>
      <c r="F901" t="n">
        <v>446.18</v>
      </c>
      <c r="G901" s="20" t="n">
        <v>9443</v>
      </c>
      <c r="H901" s="21" t="n">
        <v>98</v>
      </c>
      <c r="I901" s="21" t="n">
        <v>3</v>
      </c>
      <c r="J901" s="21" t="n">
        <v>1709.26</v>
      </c>
    </row>
    <row r="902">
      <c r="A902" s="19" t="n">
        <v>46263</v>
      </c>
      <c r="B902" t="inlineStr">
        <is>
          <t>TikTok</t>
        </is>
      </c>
      <c r="C902" t="inlineStr">
        <is>
          <t>UGC | Problem-solution | v2</t>
        </is>
      </c>
      <c r="D902" t="inlineStr">
        <is>
          <t>Prospecting | Broad | EG</t>
        </is>
      </c>
      <c r="E902" t="inlineStr">
        <is>
          <t>TT-UGC-ProbSol</t>
        </is>
      </c>
      <c r="F902" t="n">
        <v>651.45</v>
      </c>
      <c r="G902" s="20" t="n">
        <v>13157</v>
      </c>
      <c r="H902" s="21" t="n">
        <v>138</v>
      </c>
      <c r="I902" s="21" t="n">
        <v>2</v>
      </c>
      <c r="J902" s="21" t="n">
        <v>1096.08</v>
      </c>
    </row>
    <row r="903">
      <c r="A903" s="19" t="n">
        <v>46263</v>
      </c>
      <c r="B903" t="inlineStr">
        <is>
          <t>TikTok</t>
        </is>
      </c>
      <c r="C903" t="inlineStr">
        <is>
          <t>UGC | Trend audio | v1</t>
        </is>
      </c>
      <c r="D903" t="inlineStr">
        <is>
          <t>Prospecting | Broad | EG</t>
        </is>
      </c>
      <c r="E903" t="inlineStr">
        <is>
          <t>TT-UGC-Trend</t>
        </is>
      </c>
      <c r="F903" t="n">
        <v>365.58</v>
      </c>
      <c r="G903" s="20" t="n">
        <v>7383</v>
      </c>
      <c r="H903" s="21" t="n">
        <v>77</v>
      </c>
      <c r="I903" s="21" t="n">
        <v>1</v>
      </c>
      <c r="J903" s="21" t="n">
        <v>655.77</v>
      </c>
    </row>
    <row r="904">
      <c r="A904" s="19" t="n">
        <v>46263</v>
      </c>
      <c r="B904" t="inlineStr">
        <is>
          <t>TikTok</t>
        </is>
      </c>
      <c r="C904" t="inlineStr">
        <is>
          <t>UGC | Trend audio | v2</t>
        </is>
      </c>
      <c r="D904" t="inlineStr">
        <is>
          <t>Prospecting | Broad | EG</t>
        </is>
      </c>
      <c r="E904" t="inlineStr">
        <is>
          <t>TT-UGC-Trend</t>
        </is>
      </c>
      <c r="F904" t="n">
        <v>354.74</v>
      </c>
      <c r="G904" s="20" t="n">
        <v>7164</v>
      </c>
      <c r="H904" s="21" t="n">
        <v>75</v>
      </c>
      <c r="I904" s="21" t="n">
        <v>1</v>
      </c>
      <c r="J904" s="21" t="n">
        <v>570.33</v>
      </c>
    </row>
    <row r="905">
      <c r="A905" s="19" t="n">
        <v>46263</v>
      </c>
      <c r="B905" t="inlineStr">
        <is>
          <t>TikTok</t>
        </is>
      </c>
      <c r="C905" t="inlineStr">
        <is>
          <t>Spark ad | Creator A</t>
        </is>
      </c>
      <c r="D905" t="inlineStr">
        <is>
          <t>Spark | Creator A</t>
        </is>
      </c>
      <c r="E905" t="inlineStr">
        <is>
          <t>TT-Spark-CreatorA</t>
        </is>
      </c>
      <c r="F905" t="n">
        <v>432.24</v>
      </c>
      <c r="G905" s="20" t="n">
        <v>8730</v>
      </c>
      <c r="H905" s="21" t="n">
        <v>91</v>
      </c>
      <c r="I905" s="21" t="n">
        <v>2</v>
      </c>
      <c r="J905" s="21" t="n">
        <v>1313.06</v>
      </c>
    </row>
    <row r="906">
      <c r="A906" s="19" t="n">
        <v>46264</v>
      </c>
      <c r="B906" t="inlineStr">
        <is>
          <t>TikTok</t>
        </is>
      </c>
      <c r="C906" t="inlineStr">
        <is>
          <t>UGC | Problem-solution | v2</t>
        </is>
      </c>
      <c r="D906" t="inlineStr">
        <is>
          <t>Prospecting | Broad | EG</t>
        </is>
      </c>
      <c r="E906" t="inlineStr">
        <is>
          <t>TT-UGC-ProbSol</t>
        </is>
      </c>
      <c r="F906" t="n">
        <v>511.03</v>
      </c>
      <c r="G906" s="20" t="n">
        <v>10296</v>
      </c>
      <c r="H906" s="21" t="n">
        <v>107</v>
      </c>
      <c r="I906" s="21" t="n">
        <v>3</v>
      </c>
      <c r="J906" s="21" t="n">
        <v>1626.32</v>
      </c>
    </row>
    <row r="907">
      <c r="A907" s="19" t="n">
        <v>46264</v>
      </c>
      <c r="B907" t="inlineStr">
        <is>
          <t>TikTok</t>
        </is>
      </c>
      <c r="C907" t="inlineStr">
        <is>
          <t>UGC | Trend audio | v1</t>
        </is>
      </c>
      <c r="D907" t="inlineStr">
        <is>
          <t>Prospecting | Broad | EG</t>
        </is>
      </c>
      <c r="E907" t="inlineStr">
        <is>
          <t>TT-UGC-Trend</t>
        </is>
      </c>
      <c r="F907" t="n">
        <v>355.89</v>
      </c>
      <c r="G907" s="20" t="n">
        <v>7170</v>
      </c>
      <c r="H907" s="21" t="n">
        <v>75</v>
      </c>
      <c r="I907" s="21" t="n">
        <v>1</v>
      </c>
      <c r="J907" s="21" t="n">
        <v>640.2</v>
      </c>
    </row>
    <row r="908">
      <c r="A908" s="19" t="n">
        <v>46264</v>
      </c>
      <c r="B908" t="inlineStr">
        <is>
          <t>TikTok</t>
        </is>
      </c>
      <c r="C908" t="inlineStr">
        <is>
          <t>UGC | Trend audio | v2</t>
        </is>
      </c>
      <c r="D908" t="inlineStr">
        <is>
          <t>Prospecting | Broad | EG</t>
        </is>
      </c>
      <c r="E908" t="inlineStr">
        <is>
          <t>TT-UGC-Trend</t>
        </is>
      </c>
      <c r="F908" t="n">
        <v>221.1</v>
      </c>
      <c r="G908" s="20" t="n">
        <v>4455</v>
      </c>
      <c r="H908" s="21" t="n">
        <v>46</v>
      </c>
      <c r="I908" s="21" t="n">
        <v>1</v>
      </c>
      <c r="J908" s="21" t="n">
        <v>629.99</v>
      </c>
    </row>
    <row r="909">
      <c r="A909" s="19" t="n">
        <v>46264</v>
      </c>
      <c r="B909" t="inlineStr">
        <is>
          <t>TikTok</t>
        </is>
      </c>
      <c r="C909" t="inlineStr">
        <is>
          <t>Spark ad | Creator A</t>
        </is>
      </c>
      <c r="D909" t="inlineStr">
        <is>
          <t>Spark | Creator A</t>
        </is>
      </c>
      <c r="E909" t="inlineStr">
        <is>
          <t>TT-Spark-CreatorA</t>
        </is>
      </c>
      <c r="F909" t="n">
        <v>348.53</v>
      </c>
      <c r="G909" s="20" t="n">
        <v>7022</v>
      </c>
      <c r="H909" s="21" t="n">
        <v>73</v>
      </c>
      <c r="I909" s="21" t="n">
        <v>2</v>
      </c>
      <c r="J909" s="21" t="n">
        <v>1209.54</v>
      </c>
    </row>
    <row r="910">
      <c r="A910" s="19" t="n">
        <v>46265</v>
      </c>
      <c r="B910" t="inlineStr">
        <is>
          <t>TikTok</t>
        </is>
      </c>
      <c r="C910" t="inlineStr">
        <is>
          <t>UGC | Problem-solution | v2</t>
        </is>
      </c>
      <c r="D910" t="inlineStr">
        <is>
          <t>Prospecting | Broad | EG</t>
        </is>
      </c>
      <c r="E910" t="inlineStr">
        <is>
          <t>TT-UGC-ProbSol</t>
        </is>
      </c>
      <c r="F910" t="n">
        <v>477.76</v>
      </c>
      <c r="G910" s="20" t="n">
        <v>9815</v>
      </c>
      <c r="H910" s="21" t="n">
        <v>130</v>
      </c>
      <c r="I910" s="21" t="n">
        <v>3</v>
      </c>
      <c r="J910" s="21" t="n">
        <v>2008.37</v>
      </c>
    </row>
    <row r="911">
      <c r="A911" s="19" t="n">
        <v>46265</v>
      </c>
      <c r="B911" t="inlineStr">
        <is>
          <t>TikTok</t>
        </is>
      </c>
      <c r="C911" t="inlineStr">
        <is>
          <t>UGC | Trend audio | v1</t>
        </is>
      </c>
      <c r="D911" t="inlineStr">
        <is>
          <t>Prospecting | Broad | EG</t>
        </is>
      </c>
      <c r="E911" t="inlineStr">
        <is>
          <t>TT-UGC-Trend</t>
        </is>
      </c>
      <c r="F911" t="n">
        <v>319.42</v>
      </c>
      <c r="G911" s="20" t="n">
        <v>6562</v>
      </c>
      <c r="H911" s="21" t="n">
        <v>87</v>
      </c>
      <c r="I911" s="21" t="n">
        <v>1</v>
      </c>
      <c r="J911" s="21" t="n">
        <v>606.09</v>
      </c>
    </row>
    <row r="912">
      <c r="A912" s="19" t="n">
        <v>46265</v>
      </c>
      <c r="B912" t="inlineStr">
        <is>
          <t>TikTok</t>
        </is>
      </c>
      <c r="C912" t="inlineStr">
        <is>
          <t>UGC | Trend audio | v2</t>
        </is>
      </c>
      <c r="D912" t="inlineStr">
        <is>
          <t>Prospecting | Broad | EG</t>
        </is>
      </c>
      <c r="E912" t="inlineStr">
        <is>
          <t>TT-UGC-Trend</t>
        </is>
      </c>
      <c r="F912" t="n">
        <v>286.28</v>
      </c>
      <c r="G912" s="20" t="n">
        <v>5881</v>
      </c>
      <c r="H912" s="21" t="n">
        <v>78</v>
      </c>
      <c r="I912" s="21" t="n">
        <v>1</v>
      </c>
      <c r="J912" s="21" t="n">
        <v>616.39</v>
      </c>
    </row>
    <row r="913">
      <c r="A913" s="19" t="n">
        <v>46265</v>
      </c>
      <c r="B913" t="inlineStr">
        <is>
          <t>TikTok</t>
        </is>
      </c>
      <c r="C913" t="inlineStr">
        <is>
          <t>Spark ad | Creator A</t>
        </is>
      </c>
      <c r="D913" t="inlineStr">
        <is>
          <t>Spark | Creator A</t>
        </is>
      </c>
      <c r="E913" t="inlineStr">
        <is>
          <t>TT-Spark-CreatorA</t>
        </is>
      </c>
      <c r="F913" t="n">
        <v>370.32</v>
      </c>
      <c r="G913" s="20" t="n">
        <v>7608</v>
      </c>
      <c r="H913" s="21" t="n">
        <v>101</v>
      </c>
      <c r="I913" s="21" t="n">
        <v>3</v>
      </c>
      <c r="J913" s="21" t="n">
        <v>1784.57</v>
      </c>
    </row>
    <row r="914">
      <c r="A914" s="19" t="n">
        <v>46266</v>
      </c>
      <c r="B914" t="inlineStr">
        <is>
          <t>TikTok</t>
        </is>
      </c>
      <c r="C914" t="inlineStr">
        <is>
          <t>UGC | Problem-solution | v2</t>
        </is>
      </c>
      <c r="D914" t="inlineStr">
        <is>
          <t>Prospecting | Broad | EG</t>
        </is>
      </c>
      <c r="E914" t="inlineStr">
        <is>
          <t>TT-UGC-ProbSol</t>
        </is>
      </c>
      <c r="F914" t="n">
        <v>508.61</v>
      </c>
      <c r="G914" s="20" t="n">
        <v>10977</v>
      </c>
      <c r="H914" s="21" t="n">
        <v>130</v>
      </c>
      <c r="I914" s="21" t="n">
        <v>3</v>
      </c>
      <c r="J914" s="21" t="n">
        <v>1792.06</v>
      </c>
    </row>
    <row r="915">
      <c r="A915" s="19" t="n">
        <v>46266</v>
      </c>
      <c r="B915" t="inlineStr">
        <is>
          <t>TikTok</t>
        </is>
      </c>
      <c r="C915" t="inlineStr">
        <is>
          <t>UGC | Trend audio | v1</t>
        </is>
      </c>
      <c r="D915" t="inlineStr">
        <is>
          <t>Prospecting | Broad | EG</t>
        </is>
      </c>
      <c r="E915" t="inlineStr">
        <is>
          <t>TT-UGC-Trend</t>
        </is>
      </c>
      <c r="F915" t="n">
        <v>336.2</v>
      </c>
      <c r="G915" s="20" t="n">
        <v>7256</v>
      </c>
      <c r="H915" s="21" t="n">
        <v>86</v>
      </c>
      <c r="I915" s="21" t="n">
        <v>1</v>
      </c>
      <c r="J915" s="21" t="n">
        <v>615.5700000000001</v>
      </c>
    </row>
    <row r="916">
      <c r="A916" s="19" t="n">
        <v>46266</v>
      </c>
      <c r="B916" t="inlineStr">
        <is>
          <t>TikTok</t>
        </is>
      </c>
      <c r="C916" t="inlineStr">
        <is>
          <t>UGC | Trend audio | v2</t>
        </is>
      </c>
      <c r="D916" t="inlineStr">
        <is>
          <t>Prospecting | Broad | EG</t>
        </is>
      </c>
      <c r="E916" t="inlineStr">
        <is>
          <t>TT-UGC-Trend</t>
        </is>
      </c>
      <c r="F916" t="n">
        <v>229.93</v>
      </c>
      <c r="G916" s="20" t="n">
        <v>4963</v>
      </c>
      <c r="H916" s="21" t="n">
        <v>59</v>
      </c>
      <c r="I916" s="21" t="n">
        <v>1</v>
      </c>
      <c r="J916" s="21" t="n">
        <v>583.48</v>
      </c>
    </row>
    <row r="917">
      <c r="A917" s="19" t="n">
        <v>46266</v>
      </c>
      <c r="B917" t="inlineStr">
        <is>
          <t>TikTok</t>
        </is>
      </c>
      <c r="C917" t="inlineStr">
        <is>
          <t>Spark ad | Creator A</t>
        </is>
      </c>
      <c r="D917" t="inlineStr">
        <is>
          <t>Spark | Creator A</t>
        </is>
      </c>
      <c r="E917" t="inlineStr">
        <is>
          <t>TT-Spark-CreatorA</t>
        </is>
      </c>
      <c r="F917" t="n">
        <v>408.55</v>
      </c>
      <c r="G917" s="20" t="n">
        <v>8818</v>
      </c>
      <c r="H917" s="21" t="n">
        <v>105</v>
      </c>
      <c r="I917" s="21" t="n">
        <v>3</v>
      </c>
      <c r="J917" s="21" t="n">
        <v>1793.83</v>
      </c>
    </row>
    <row r="918">
      <c r="A918" s="19" t="n">
        <v>46267</v>
      </c>
      <c r="B918" t="inlineStr">
        <is>
          <t>TikTok</t>
        </is>
      </c>
      <c r="C918" t="inlineStr">
        <is>
          <t>UGC | Problem-solution | v2</t>
        </is>
      </c>
      <c r="D918" t="inlineStr">
        <is>
          <t>Prospecting | Broad | EG</t>
        </is>
      </c>
      <c r="E918" t="inlineStr">
        <is>
          <t>TT-UGC-ProbSol</t>
        </is>
      </c>
      <c r="F918" t="n">
        <v>586.21</v>
      </c>
      <c r="G918" s="20" t="n">
        <v>11939</v>
      </c>
      <c r="H918" s="21" t="n">
        <v>159</v>
      </c>
      <c r="I918" s="21" t="n">
        <v>4</v>
      </c>
      <c r="J918" s="21" t="n">
        <v>2179.09</v>
      </c>
    </row>
    <row r="919">
      <c r="A919" s="19" t="n">
        <v>46267</v>
      </c>
      <c r="B919" t="inlineStr">
        <is>
          <t>TikTok</t>
        </is>
      </c>
      <c r="C919" t="inlineStr">
        <is>
          <t>UGC | Trend audio | v1</t>
        </is>
      </c>
      <c r="D919" t="inlineStr">
        <is>
          <t>Prospecting | Broad | EG</t>
        </is>
      </c>
      <c r="E919" t="inlineStr">
        <is>
          <t>TT-UGC-Trend</t>
        </is>
      </c>
      <c r="F919" t="n">
        <v>350.03</v>
      </c>
      <c r="G919" s="20" t="n">
        <v>7129</v>
      </c>
      <c r="H919" s="21" t="n">
        <v>95</v>
      </c>
      <c r="I919" s="21" t="n">
        <v>1</v>
      </c>
      <c r="J919" s="21" t="n">
        <v>610.9299999999999</v>
      </c>
    </row>
    <row r="920">
      <c r="A920" s="19" t="n">
        <v>46267</v>
      </c>
      <c r="B920" t="inlineStr">
        <is>
          <t>TikTok</t>
        </is>
      </c>
      <c r="C920" t="inlineStr">
        <is>
          <t>UGC | Trend audio | v2</t>
        </is>
      </c>
      <c r="D920" t="inlineStr">
        <is>
          <t>Prospecting | Broad | EG</t>
        </is>
      </c>
      <c r="E920" t="inlineStr">
        <is>
          <t>TT-UGC-Trend</t>
        </is>
      </c>
      <c r="F920" t="n">
        <v>257.92</v>
      </c>
      <c r="G920" s="20" t="n">
        <v>5253</v>
      </c>
      <c r="H920" s="21" t="n">
        <v>70</v>
      </c>
      <c r="I920" s="21" t="n">
        <v>2</v>
      </c>
      <c r="J920" s="21" t="n">
        <v>1043.44</v>
      </c>
    </row>
    <row r="921">
      <c r="A921" s="19" t="n">
        <v>46267</v>
      </c>
      <c r="B921" t="inlineStr">
        <is>
          <t>TikTok</t>
        </is>
      </c>
      <c r="C921" t="inlineStr">
        <is>
          <t>Spark ad | Creator A</t>
        </is>
      </c>
      <c r="D921" t="inlineStr">
        <is>
          <t>Spark | Creator A</t>
        </is>
      </c>
      <c r="E921" t="inlineStr">
        <is>
          <t>TT-Spark-CreatorA</t>
        </is>
      </c>
      <c r="F921" t="n">
        <v>408.14</v>
      </c>
      <c r="G921" s="20" t="n">
        <v>8312</v>
      </c>
      <c r="H921" s="21" t="n">
        <v>111</v>
      </c>
      <c r="I921" s="21" t="n">
        <v>3</v>
      </c>
      <c r="J921" s="21" t="n">
        <v>1858.38</v>
      </c>
    </row>
    <row r="922">
      <c r="A922" s="19" t="n">
        <v>46268</v>
      </c>
      <c r="B922" t="inlineStr">
        <is>
          <t>TikTok</t>
        </is>
      </c>
      <c r="C922" t="inlineStr">
        <is>
          <t>UGC | Problem-solution | v2</t>
        </is>
      </c>
      <c r="D922" t="inlineStr">
        <is>
          <t>Prospecting | Broad | EG</t>
        </is>
      </c>
      <c r="E922" t="inlineStr">
        <is>
          <t>TT-UGC-ProbSol</t>
        </is>
      </c>
      <c r="F922" t="n">
        <v>469.04</v>
      </c>
      <c r="G922" s="20" t="n">
        <v>9313</v>
      </c>
      <c r="H922" s="21" t="n">
        <v>126</v>
      </c>
      <c r="I922" s="21" t="n">
        <v>2</v>
      </c>
      <c r="J922" s="21" t="n">
        <v>1369.62</v>
      </c>
    </row>
    <row r="923">
      <c r="A923" s="19" t="n">
        <v>46268</v>
      </c>
      <c r="B923" t="inlineStr">
        <is>
          <t>TikTok</t>
        </is>
      </c>
      <c r="C923" t="inlineStr">
        <is>
          <t>UGC | Trend audio | v1</t>
        </is>
      </c>
      <c r="D923" t="inlineStr">
        <is>
          <t>Prospecting | Broad | EG</t>
        </is>
      </c>
      <c r="E923" t="inlineStr">
        <is>
          <t>TT-UGC-Trend</t>
        </is>
      </c>
      <c r="F923" t="n">
        <v>418.9</v>
      </c>
      <c r="G923" s="20" t="n">
        <v>8317</v>
      </c>
      <c r="H923" s="21" t="n">
        <v>113</v>
      </c>
      <c r="I923" s="21" t="n">
        <v>1</v>
      </c>
      <c r="J923" s="21" t="n">
        <v>658.5</v>
      </c>
    </row>
    <row r="924">
      <c r="A924" s="19" t="n">
        <v>46268</v>
      </c>
      <c r="B924" t="inlineStr">
        <is>
          <t>TikTok</t>
        </is>
      </c>
      <c r="C924" t="inlineStr">
        <is>
          <t>UGC | Trend audio | v2</t>
        </is>
      </c>
      <c r="D924" t="inlineStr">
        <is>
          <t>Prospecting | Broad | EG</t>
        </is>
      </c>
      <c r="E924" t="inlineStr">
        <is>
          <t>TT-UGC-Trend</t>
        </is>
      </c>
      <c r="F924" t="n">
        <v>305.99</v>
      </c>
      <c r="G924" s="20" t="n">
        <v>6076</v>
      </c>
      <c r="H924" s="21" t="n">
        <v>82</v>
      </c>
      <c r="I924" s="21" t="n">
        <v>1</v>
      </c>
      <c r="J924" s="21" t="n">
        <v>654.59</v>
      </c>
    </row>
    <row r="925">
      <c r="A925" s="19" t="n">
        <v>46268</v>
      </c>
      <c r="B925" t="inlineStr">
        <is>
          <t>TikTok</t>
        </is>
      </c>
      <c r="C925" t="inlineStr">
        <is>
          <t>Spark ad | Creator A</t>
        </is>
      </c>
      <c r="D925" t="inlineStr">
        <is>
          <t>Spark | Creator A</t>
        </is>
      </c>
      <c r="E925" t="inlineStr">
        <is>
          <t>TT-Spark-CreatorA</t>
        </is>
      </c>
      <c r="F925" t="n">
        <v>380.07</v>
      </c>
      <c r="G925" s="20" t="n">
        <v>7546</v>
      </c>
      <c r="H925" s="21" t="n">
        <v>102</v>
      </c>
      <c r="I925" s="21" t="n">
        <v>3</v>
      </c>
      <c r="J925" s="21" t="n">
        <v>1940.58</v>
      </c>
    </row>
    <row r="926">
      <c r="A926" s="19" t="n">
        <v>46269</v>
      </c>
      <c r="B926" t="inlineStr">
        <is>
          <t>TikTok</t>
        </is>
      </c>
      <c r="C926" t="inlineStr">
        <is>
          <t>UGC | Problem-solution | v2</t>
        </is>
      </c>
      <c r="D926" t="inlineStr">
        <is>
          <t>Prospecting | Broad | EG</t>
        </is>
      </c>
      <c r="E926" t="inlineStr">
        <is>
          <t>TT-UGC-ProbSol</t>
        </is>
      </c>
      <c r="F926" t="n">
        <v>477.88</v>
      </c>
      <c r="G926" s="20" t="n">
        <v>9902</v>
      </c>
      <c r="H926" s="21" t="n">
        <v>128</v>
      </c>
      <c r="I926" s="21" t="n">
        <v>2</v>
      </c>
      <c r="J926" s="21" t="n">
        <v>1196.43</v>
      </c>
    </row>
    <row r="927">
      <c r="A927" s="19" t="n">
        <v>46269</v>
      </c>
      <c r="B927" t="inlineStr">
        <is>
          <t>TikTok</t>
        </is>
      </c>
      <c r="C927" t="inlineStr">
        <is>
          <t>UGC | Trend audio | v1</t>
        </is>
      </c>
      <c r="D927" t="inlineStr">
        <is>
          <t>Prospecting | Broad | EG</t>
        </is>
      </c>
      <c r="E927" t="inlineStr">
        <is>
          <t>TT-UGC-Trend</t>
        </is>
      </c>
      <c r="F927" t="n">
        <v>395.69</v>
      </c>
      <c r="G927" s="20" t="n">
        <v>8199</v>
      </c>
      <c r="H927" s="21" t="n">
        <v>106</v>
      </c>
      <c r="I927" s="21" t="n">
        <v>1</v>
      </c>
      <c r="J927" s="21" t="n">
        <v>623.1799999999999</v>
      </c>
    </row>
    <row r="928">
      <c r="A928" s="19" t="n">
        <v>46269</v>
      </c>
      <c r="B928" t="inlineStr">
        <is>
          <t>TikTok</t>
        </is>
      </c>
      <c r="C928" t="inlineStr">
        <is>
          <t>UGC | Trend audio | v2</t>
        </is>
      </c>
      <c r="D928" t="inlineStr">
        <is>
          <t>Prospecting | Broad | EG</t>
        </is>
      </c>
      <c r="E928" t="inlineStr">
        <is>
          <t>TT-UGC-Trend</t>
        </is>
      </c>
      <c r="F928" t="n">
        <v>308.32</v>
      </c>
      <c r="G928" s="20" t="n">
        <v>6389</v>
      </c>
      <c r="H928" s="21" t="n">
        <v>82</v>
      </c>
      <c r="I928" s="21" t="n">
        <v>1</v>
      </c>
      <c r="J928" s="21" t="n">
        <v>702.13</v>
      </c>
    </row>
    <row r="929">
      <c r="A929" s="19" t="n">
        <v>46269</v>
      </c>
      <c r="B929" t="inlineStr">
        <is>
          <t>TikTok</t>
        </is>
      </c>
      <c r="C929" t="inlineStr">
        <is>
          <t>Spark ad | Creator A</t>
        </is>
      </c>
      <c r="D929" t="inlineStr">
        <is>
          <t>Spark | Creator A</t>
        </is>
      </c>
      <c r="E929" t="inlineStr">
        <is>
          <t>TT-Spark-CreatorA</t>
        </is>
      </c>
      <c r="F929" t="n">
        <v>432.07</v>
      </c>
      <c r="G929" s="20" t="n">
        <v>8953</v>
      </c>
      <c r="H929" s="21" t="n">
        <v>115</v>
      </c>
      <c r="I929" s="21" t="n">
        <v>3</v>
      </c>
      <c r="J929" s="21" t="n">
        <v>1779</v>
      </c>
    </row>
    <row r="930">
      <c r="A930" s="19" t="n">
        <v>46270</v>
      </c>
      <c r="B930" t="inlineStr">
        <is>
          <t>TikTok</t>
        </is>
      </c>
      <c r="C930" t="inlineStr">
        <is>
          <t>UGC | Problem-solution | v2</t>
        </is>
      </c>
      <c r="D930" t="inlineStr">
        <is>
          <t>Prospecting | Broad | EG</t>
        </is>
      </c>
      <c r="E930" t="inlineStr">
        <is>
          <t>TT-UGC-ProbSol</t>
        </is>
      </c>
      <c r="F930" t="n">
        <v>634.71</v>
      </c>
      <c r="G930" s="20" t="n">
        <v>12540</v>
      </c>
      <c r="H930" s="21" t="n">
        <v>161</v>
      </c>
      <c r="I930" s="21" t="n">
        <v>3</v>
      </c>
      <c r="J930" s="21" t="n">
        <v>2132.06</v>
      </c>
    </row>
    <row r="931">
      <c r="A931" s="19" t="n">
        <v>46270</v>
      </c>
      <c r="B931" t="inlineStr">
        <is>
          <t>TikTok</t>
        </is>
      </c>
      <c r="C931" t="inlineStr">
        <is>
          <t>UGC | Trend audio | v1</t>
        </is>
      </c>
      <c r="D931" t="inlineStr">
        <is>
          <t>Prospecting | Broad | EG</t>
        </is>
      </c>
      <c r="E931" t="inlineStr">
        <is>
          <t>TT-UGC-Trend</t>
        </is>
      </c>
      <c r="F931" t="n">
        <v>385.97</v>
      </c>
      <c r="G931" s="20" t="n">
        <v>7626</v>
      </c>
      <c r="H931" s="21" t="n">
        <v>98</v>
      </c>
      <c r="I931" s="21" t="n">
        <v>1</v>
      </c>
      <c r="J931" s="21" t="n">
        <v>648.27</v>
      </c>
    </row>
    <row r="932">
      <c r="A932" s="19" t="n">
        <v>46270</v>
      </c>
      <c r="B932" t="inlineStr">
        <is>
          <t>TikTok</t>
        </is>
      </c>
      <c r="C932" t="inlineStr">
        <is>
          <t>UGC | Trend audio | v2</t>
        </is>
      </c>
      <c r="D932" t="inlineStr">
        <is>
          <t>Prospecting | Broad | EG</t>
        </is>
      </c>
      <c r="E932" t="inlineStr">
        <is>
          <t>TT-UGC-Trend</t>
        </is>
      </c>
      <c r="F932" t="n">
        <v>365.98</v>
      </c>
      <c r="G932" s="20" t="n">
        <v>7231</v>
      </c>
      <c r="H932" s="21" t="n">
        <v>93</v>
      </c>
      <c r="I932" s="21" t="n">
        <v>2</v>
      </c>
      <c r="J932" s="21" t="n">
        <v>1242.76</v>
      </c>
    </row>
    <row r="933">
      <c r="A933" s="19" t="n">
        <v>46270</v>
      </c>
      <c r="B933" t="inlineStr">
        <is>
          <t>TikTok</t>
        </is>
      </c>
      <c r="C933" t="inlineStr">
        <is>
          <t>Spark ad | Creator A</t>
        </is>
      </c>
      <c r="D933" t="inlineStr">
        <is>
          <t>Spark | Creator A</t>
        </is>
      </c>
      <c r="E933" t="inlineStr">
        <is>
          <t>TT-Spark-CreatorA</t>
        </is>
      </c>
      <c r="F933" t="n">
        <v>390.8</v>
      </c>
      <c r="G933" s="20" t="n">
        <v>7721</v>
      </c>
      <c r="H933" s="21" t="n">
        <v>99</v>
      </c>
      <c r="I933" s="21" t="n">
        <v>2</v>
      </c>
      <c r="J933" s="21" t="n">
        <v>1205.75</v>
      </c>
    </row>
    <row r="934">
      <c r="A934" s="19" t="n">
        <v>46271</v>
      </c>
      <c r="B934" t="inlineStr">
        <is>
          <t>TikTok</t>
        </is>
      </c>
      <c r="C934" t="inlineStr">
        <is>
          <t>UGC | Problem-solution | v2</t>
        </is>
      </c>
      <c r="D934" t="inlineStr">
        <is>
          <t>Prospecting | Broad | EG</t>
        </is>
      </c>
      <c r="E934" t="inlineStr">
        <is>
          <t>TT-UGC-ProbSol</t>
        </is>
      </c>
      <c r="F934" t="n">
        <v>519.6799999999999</v>
      </c>
      <c r="G934" s="20" t="n">
        <v>10233</v>
      </c>
      <c r="H934" s="21" t="n">
        <v>136</v>
      </c>
      <c r="I934" s="21" t="n">
        <v>4</v>
      </c>
      <c r="J934" s="21" t="n">
        <v>2645.91</v>
      </c>
    </row>
    <row r="935">
      <c r="A935" s="19" t="n">
        <v>46271</v>
      </c>
      <c r="B935" t="inlineStr">
        <is>
          <t>TikTok</t>
        </is>
      </c>
      <c r="C935" t="inlineStr">
        <is>
          <t>UGC | Trend audio | v1</t>
        </is>
      </c>
      <c r="D935" t="inlineStr">
        <is>
          <t>Prospecting | Broad | EG</t>
        </is>
      </c>
      <c r="E935" t="inlineStr">
        <is>
          <t>TT-UGC-Trend</t>
        </is>
      </c>
      <c r="F935" t="n">
        <v>329.78</v>
      </c>
      <c r="G935" s="20" t="n">
        <v>6494</v>
      </c>
      <c r="H935" s="21" t="n">
        <v>87</v>
      </c>
      <c r="I935" s="21" t="n">
        <v>1</v>
      </c>
      <c r="J935" s="21" t="n">
        <v>576.6900000000001</v>
      </c>
    </row>
    <row r="936">
      <c r="A936" s="19" t="n">
        <v>46271</v>
      </c>
      <c r="B936" t="inlineStr">
        <is>
          <t>TikTok</t>
        </is>
      </c>
      <c r="C936" t="inlineStr">
        <is>
          <t>UGC | Trend audio | v2</t>
        </is>
      </c>
      <c r="D936" t="inlineStr">
        <is>
          <t>Prospecting | Broad | EG</t>
        </is>
      </c>
      <c r="E936" t="inlineStr">
        <is>
          <t>TT-UGC-Trend</t>
        </is>
      </c>
      <c r="F936" t="n">
        <v>230.48</v>
      </c>
      <c r="G936" s="20" t="n">
        <v>4539</v>
      </c>
      <c r="H936" s="21" t="n">
        <v>60</v>
      </c>
      <c r="I936" s="21" t="n">
        <v>1</v>
      </c>
      <c r="J936" s="21" t="n">
        <v>619.84</v>
      </c>
    </row>
    <row r="937">
      <c r="A937" s="19" t="n">
        <v>46271</v>
      </c>
      <c r="B937" t="inlineStr">
        <is>
          <t>TikTok</t>
        </is>
      </c>
      <c r="C937" t="inlineStr">
        <is>
          <t>Spark ad | Creator A</t>
        </is>
      </c>
      <c r="D937" t="inlineStr">
        <is>
          <t>Spark | Creator A</t>
        </is>
      </c>
      <c r="E937" t="inlineStr">
        <is>
          <t>TT-Spark-CreatorA</t>
        </is>
      </c>
      <c r="F937" t="n">
        <v>356.46</v>
      </c>
      <c r="G937" s="20" t="n">
        <v>7019</v>
      </c>
      <c r="H937" s="21" t="n">
        <v>94</v>
      </c>
      <c r="I937" s="21" t="n">
        <v>3</v>
      </c>
      <c r="J937" s="21" t="n">
        <v>1700.66</v>
      </c>
    </row>
    <row r="938">
      <c r="A938" s="19" t="n">
        <v>46272</v>
      </c>
      <c r="B938" t="inlineStr">
        <is>
          <t>TikTok</t>
        </is>
      </c>
      <c r="C938" t="inlineStr">
        <is>
          <t>UGC | Problem-solution | v2</t>
        </is>
      </c>
      <c r="D938" t="inlineStr">
        <is>
          <t>Prospecting | Broad | EG</t>
        </is>
      </c>
      <c r="E938" t="inlineStr">
        <is>
          <t>TT-UGC-ProbSol</t>
        </is>
      </c>
      <c r="F938" t="n">
        <v>435.98</v>
      </c>
      <c r="G938" s="20" t="n">
        <v>8926</v>
      </c>
      <c r="H938" s="21" t="n">
        <v>108</v>
      </c>
      <c r="I938" s="21" t="n">
        <v>2</v>
      </c>
      <c r="J938" s="21" t="n">
        <v>1064.23</v>
      </c>
    </row>
    <row r="939">
      <c r="A939" s="19" t="n">
        <v>46272</v>
      </c>
      <c r="B939" t="inlineStr">
        <is>
          <t>TikTok</t>
        </is>
      </c>
      <c r="C939" t="inlineStr">
        <is>
          <t>UGC | Trend audio | v1</t>
        </is>
      </c>
      <c r="D939" t="inlineStr">
        <is>
          <t>Prospecting | Broad | EG</t>
        </is>
      </c>
      <c r="E939" t="inlineStr">
        <is>
          <t>TT-UGC-Trend</t>
        </is>
      </c>
      <c r="F939" t="n">
        <v>360.96</v>
      </c>
      <c r="G939" s="20" t="n">
        <v>7390</v>
      </c>
      <c r="H939" s="21" t="n">
        <v>89</v>
      </c>
      <c r="I939" s="21" t="n">
        <v>1</v>
      </c>
      <c r="J939" s="21" t="n">
        <v>533.0599999999999</v>
      </c>
    </row>
    <row r="940">
      <c r="A940" s="19" t="n">
        <v>46272</v>
      </c>
      <c r="B940" t="inlineStr">
        <is>
          <t>TikTok</t>
        </is>
      </c>
      <c r="C940" t="inlineStr">
        <is>
          <t>UGC | Trend audio | v2</t>
        </is>
      </c>
      <c r="D940" t="inlineStr">
        <is>
          <t>Prospecting | Broad | EG</t>
        </is>
      </c>
      <c r="E940" t="inlineStr">
        <is>
          <t>TT-UGC-Trend</t>
        </is>
      </c>
      <c r="F940" t="n">
        <v>276.16</v>
      </c>
      <c r="G940" s="20" t="n">
        <v>5654</v>
      </c>
      <c r="H940" s="21" t="n">
        <v>68</v>
      </c>
      <c r="I940" s="21" t="n">
        <v>1</v>
      </c>
      <c r="J940" s="21" t="n">
        <v>593.62</v>
      </c>
    </row>
    <row r="941">
      <c r="A941" s="19" t="n">
        <v>46272</v>
      </c>
      <c r="B941" t="inlineStr">
        <is>
          <t>TikTok</t>
        </is>
      </c>
      <c r="C941" t="inlineStr">
        <is>
          <t>Spark ad | Creator A</t>
        </is>
      </c>
      <c r="D941" t="inlineStr">
        <is>
          <t>Spark | Creator A</t>
        </is>
      </c>
      <c r="E941" t="inlineStr">
        <is>
          <t>TT-Spark-CreatorA</t>
        </is>
      </c>
      <c r="F941" t="n">
        <v>337.21</v>
      </c>
      <c r="G941" s="20" t="n">
        <v>6904</v>
      </c>
      <c r="H941" s="21" t="n">
        <v>83</v>
      </c>
      <c r="I941" s="21" t="n">
        <v>2</v>
      </c>
      <c r="J941" s="21" t="n">
        <v>1160.96</v>
      </c>
    </row>
    <row r="942">
      <c r="A942" s="19" t="n">
        <v>46273</v>
      </c>
      <c r="B942" t="inlineStr">
        <is>
          <t>TikTok</t>
        </is>
      </c>
      <c r="C942" t="inlineStr">
        <is>
          <t>UGC | Problem-solution | v2</t>
        </is>
      </c>
      <c r="D942" t="inlineStr">
        <is>
          <t>Prospecting | Broad | EG</t>
        </is>
      </c>
      <c r="E942" t="inlineStr">
        <is>
          <t>TT-UGC-ProbSol</t>
        </is>
      </c>
      <c r="F942" t="n">
        <v>330.8</v>
      </c>
      <c r="G942" s="20" t="n">
        <v>7116</v>
      </c>
      <c r="H942" s="21" t="n">
        <v>86</v>
      </c>
      <c r="I942" s="21" t="n">
        <v>1</v>
      </c>
      <c r="J942" s="21" t="n">
        <v>698.1</v>
      </c>
    </row>
    <row r="943">
      <c r="A943" s="19" t="n">
        <v>46273</v>
      </c>
      <c r="B943" t="inlineStr">
        <is>
          <t>TikTok</t>
        </is>
      </c>
      <c r="C943" t="inlineStr">
        <is>
          <t>UGC | Trend audio | v1</t>
        </is>
      </c>
      <c r="D943" t="inlineStr">
        <is>
          <t>Prospecting | Broad | EG</t>
        </is>
      </c>
      <c r="E943" t="inlineStr">
        <is>
          <t>TT-UGC-Trend</t>
        </is>
      </c>
      <c r="F943" t="n">
        <v>224.01</v>
      </c>
      <c r="G943" s="20" t="n">
        <v>4819</v>
      </c>
      <c r="H943" s="21" t="n">
        <v>58</v>
      </c>
      <c r="I943" s="21" t="n">
        <v>1</v>
      </c>
      <c r="J943" s="21" t="n">
        <v>668.05</v>
      </c>
    </row>
    <row r="944">
      <c r="A944" s="19" t="n">
        <v>46273</v>
      </c>
      <c r="B944" t="inlineStr">
        <is>
          <t>TikTok</t>
        </is>
      </c>
      <c r="C944" t="inlineStr">
        <is>
          <t>UGC | Trend audio | v2</t>
        </is>
      </c>
      <c r="D944" t="inlineStr">
        <is>
          <t>Prospecting | Broad | EG</t>
        </is>
      </c>
      <c r="E944" t="inlineStr">
        <is>
          <t>TT-UGC-Trend</t>
        </is>
      </c>
      <c r="F944" t="n">
        <v>197.53</v>
      </c>
      <c r="G944" s="20" t="n">
        <v>4249</v>
      </c>
      <c r="H944" s="21" t="n">
        <v>52</v>
      </c>
      <c r="I944" s="21" t="n">
        <v>1</v>
      </c>
      <c r="J944" s="21" t="n">
        <v>618.02</v>
      </c>
    </row>
    <row r="945">
      <c r="A945" s="19" t="n">
        <v>46273</v>
      </c>
      <c r="B945" t="inlineStr">
        <is>
          <t>TikTok</t>
        </is>
      </c>
      <c r="C945" t="inlineStr">
        <is>
          <t>Spark ad | Creator A</t>
        </is>
      </c>
      <c r="D945" t="inlineStr">
        <is>
          <t>Spark | Creator A</t>
        </is>
      </c>
      <c r="E945" t="inlineStr">
        <is>
          <t>TT-Spark-CreatorA</t>
        </is>
      </c>
      <c r="F945" t="n">
        <v>289.99</v>
      </c>
      <c r="G945" s="20" t="n">
        <v>6238</v>
      </c>
      <c r="H945" s="21" t="n">
        <v>76</v>
      </c>
      <c r="I945" s="21" t="n">
        <v>1</v>
      </c>
      <c r="J945" s="21" t="n">
        <v>600.0700000000001</v>
      </c>
    </row>
    <row r="946">
      <c r="A946" s="19" t="n">
        <v>46274</v>
      </c>
      <c r="B946" t="inlineStr">
        <is>
          <t>TikTok</t>
        </is>
      </c>
      <c r="C946" t="inlineStr">
        <is>
          <t>UGC | Problem-solution | v2</t>
        </is>
      </c>
      <c r="D946" t="inlineStr">
        <is>
          <t>Prospecting | Broad | EG</t>
        </is>
      </c>
      <c r="E946" t="inlineStr">
        <is>
          <t>TT-UGC-ProbSol</t>
        </is>
      </c>
      <c r="F946" t="n">
        <v>375.57</v>
      </c>
      <c r="G946" s="20" t="n">
        <v>7907</v>
      </c>
      <c r="H946" s="21" t="n">
        <v>81</v>
      </c>
      <c r="I946" s="21" t="n">
        <v>1</v>
      </c>
      <c r="J946" s="21" t="n">
        <v>578.08</v>
      </c>
    </row>
    <row r="947">
      <c r="A947" s="19" t="n">
        <v>46274</v>
      </c>
      <c r="B947" t="inlineStr">
        <is>
          <t>TikTok</t>
        </is>
      </c>
      <c r="C947" t="inlineStr">
        <is>
          <t>UGC | Trend audio | v1</t>
        </is>
      </c>
      <c r="D947" t="inlineStr">
        <is>
          <t>Prospecting | Broad | EG</t>
        </is>
      </c>
      <c r="E947" t="inlineStr">
        <is>
          <t>TT-UGC-Trend</t>
        </is>
      </c>
      <c r="F947" t="n">
        <v>236.35</v>
      </c>
      <c r="G947" s="20" t="n">
        <v>4976</v>
      </c>
      <c r="H947" s="21" t="n">
        <v>51</v>
      </c>
      <c r="I947" s="21" t="n">
        <v>1</v>
      </c>
      <c r="J947" s="21" t="n">
        <v>526.33</v>
      </c>
    </row>
    <row r="948">
      <c r="A948" s="19" t="n">
        <v>46274</v>
      </c>
      <c r="B948" t="inlineStr">
        <is>
          <t>TikTok</t>
        </is>
      </c>
      <c r="C948" t="inlineStr">
        <is>
          <t>UGC | Trend audio | v2</t>
        </is>
      </c>
      <c r="D948" t="inlineStr">
        <is>
          <t>Prospecting | Broad | EG</t>
        </is>
      </c>
      <c r="E948" t="inlineStr">
        <is>
          <t>TT-UGC-Trend</t>
        </is>
      </c>
      <c r="F948" t="n">
        <v>201.6</v>
      </c>
      <c r="G948" s="20" t="n">
        <v>4244</v>
      </c>
      <c r="H948" s="21" t="n">
        <v>43</v>
      </c>
      <c r="I948" s="21" t="n">
        <v>1</v>
      </c>
      <c r="J948" s="21" t="n">
        <v>581.49</v>
      </c>
    </row>
    <row r="949">
      <c r="A949" s="19" t="n">
        <v>46274</v>
      </c>
      <c r="B949" t="inlineStr">
        <is>
          <t>TikTok</t>
        </is>
      </c>
      <c r="C949" t="inlineStr">
        <is>
          <t>Spark ad | Creator A</t>
        </is>
      </c>
      <c r="D949" t="inlineStr">
        <is>
          <t>Spark | Creator A</t>
        </is>
      </c>
      <c r="E949" t="inlineStr">
        <is>
          <t>TT-Spark-CreatorA</t>
        </is>
      </c>
      <c r="F949" t="n">
        <v>234.03</v>
      </c>
      <c r="G949" s="20" t="n">
        <v>4927</v>
      </c>
      <c r="H949" s="21" t="n">
        <v>50</v>
      </c>
      <c r="I949" s="21" t="n">
        <v>1</v>
      </c>
      <c r="J949" s="21" t="n">
        <v>583.95</v>
      </c>
    </row>
    <row r="950">
      <c r="A950" s="19" t="n">
        <v>46275</v>
      </c>
      <c r="B950" t="inlineStr">
        <is>
          <t>TikTok</t>
        </is>
      </c>
      <c r="C950" t="inlineStr">
        <is>
          <t>UGC | Problem-solution | v2</t>
        </is>
      </c>
      <c r="D950" t="inlineStr">
        <is>
          <t>Prospecting | Broad | EG</t>
        </is>
      </c>
      <c r="E950" t="inlineStr">
        <is>
          <t>TT-UGC-ProbSol</t>
        </is>
      </c>
      <c r="F950" t="n">
        <v>341.04</v>
      </c>
      <c r="G950" s="20" t="n">
        <v>7370</v>
      </c>
      <c r="H950" s="21" t="n">
        <v>100</v>
      </c>
      <c r="I950" s="21" t="n">
        <v>2</v>
      </c>
      <c r="J950" s="21" t="n">
        <v>1215.02</v>
      </c>
    </row>
    <row r="951">
      <c r="A951" s="19" t="n">
        <v>46275</v>
      </c>
      <c r="B951" t="inlineStr">
        <is>
          <t>TikTok</t>
        </is>
      </c>
      <c r="C951" t="inlineStr">
        <is>
          <t>UGC | Trend audio | v1</t>
        </is>
      </c>
      <c r="D951" t="inlineStr">
        <is>
          <t>Prospecting | Broad | EG</t>
        </is>
      </c>
      <c r="E951" t="inlineStr">
        <is>
          <t>TT-UGC-Trend</t>
        </is>
      </c>
      <c r="F951" t="n">
        <v>202.21</v>
      </c>
      <c r="G951" s="20" t="n">
        <v>4370</v>
      </c>
      <c r="H951" s="21" t="n">
        <v>59</v>
      </c>
      <c r="I951" s="21" t="n">
        <v>1</v>
      </c>
      <c r="J951" s="21" t="n">
        <v>539.01</v>
      </c>
    </row>
    <row r="952">
      <c r="A952" s="19" t="n">
        <v>46275</v>
      </c>
      <c r="B952" t="inlineStr">
        <is>
          <t>TikTok</t>
        </is>
      </c>
      <c r="C952" t="inlineStr">
        <is>
          <t>UGC | Trend audio | v2</t>
        </is>
      </c>
      <c r="D952" t="inlineStr">
        <is>
          <t>Prospecting | Broad | EG</t>
        </is>
      </c>
      <c r="E952" t="inlineStr">
        <is>
          <t>TT-UGC-Trend</t>
        </is>
      </c>
      <c r="F952" t="n">
        <v>206.67</v>
      </c>
      <c r="G952" s="20" t="n">
        <v>4466</v>
      </c>
      <c r="H952" s="21" t="n">
        <v>61</v>
      </c>
      <c r="I952" s="21" t="n">
        <v>1</v>
      </c>
      <c r="J952" s="21" t="n">
        <v>529.9299999999999</v>
      </c>
    </row>
    <row r="953">
      <c r="A953" s="19" t="n">
        <v>46275</v>
      </c>
      <c r="B953" t="inlineStr">
        <is>
          <t>TikTok</t>
        </is>
      </c>
      <c r="C953" t="inlineStr">
        <is>
          <t>Spark ad | Creator A</t>
        </is>
      </c>
      <c r="D953" t="inlineStr">
        <is>
          <t>Spark | Creator A</t>
        </is>
      </c>
      <c r="E953" t="inlineStr">
        <is>
          <t>TT-Spark-CreatorA</t>
        </is>
      </c>
      <c r="F953" t="n">
        <v>261.05</v>
      </c>
      <c r="G953" s="20" t="n">
        <v>5641</v>
      </c>
      <c r="H953" s="21" t="n">
        <v>76</v>
      </c>
      <c r="I953" s="21" t="n">
        <v>2</v>
      </c>
      <c r="J953" s="21" t="n">
        <v>1205.88</v>
      </c>
    </row>
    <row r="954">
      <c r="A954" s="19" t="n">
        <v>46276</v>
      </c>
      <c r="B954" t="inlineStr">
        <is>
          <t>TikTok</t>
        </is>
      </c>
      <c r="C954" t="inlineStr">
        <is>
          <t>UGC | Problem-solution | v2</t>
        </is>
      </c>
      <c r="D954" t="inlineStr">
        <is>
          <t>Prospecting | Broad | EG</t>
        </is>
      </c>
      <c r="E954" t="inlineStr">
        <is>
          <t>TT-UGC-ProbSol</t>
        </is>
      </c>
      <c r="F954" t="n">
        <v>435.13</v>
      </c>
      <c r="G954" s="20" t="n">
        <v>9017</v>
      </c>
      <c r="H954" s="21" t="n">
        <v>95</v>
      </c>
      <c r="I954" s="21" t="n">
        <v>2</v>
      </c>
      <c r="J954" s="21" t="n">
        <v>1205.42</v>
      </c>
    </row>
    <row r="955">
      <c r="A955" s="19" t="n">
        <v>46276</v>
      </c>
      <c r="B955" t="inlineStr">
        <is>
          <t>TikTok</t>
        </is>
      </c>
      <c r="C955" t="inlineStr">
        <is>
          <t>UGC | Trend audio | v1</t>
        </is>
      </c>
      <c r="D955" t="inlineStr">
        <is>
          <t>Prospecting | Broad | EG</t>
        </is>
      </c>
      <c r="E955" t="inlineStr">
        <is>
          <t>TT-UGC-Trend</t>
        </is>
      </c>
      <c r="F955" t="n">
        <v>282.08</v>
      </c>
      <c r="G955" s="20" t="n">
        <v>5845</v>
      </c>
      <c r="H955" s="21" t="n">
        <v>62</v>
      </c>
      <c r="I955" s="21" t="n">
        <v>0</v>
      </c>
      <c r="J955" s="21" t="n">
        <v>0</v>
      </c>
    </row>
    <row r="956">
      <c r="A956" s="19" t="n">
        <v>46276</v>
      </c>
      <c r="B956" t="inlineStr">
        <is>
          <t>TikTok</t>
        </is>
      </c>
      <c r="C956" t="inlineStr">
        <is>
          <t>UGC | Trend audio | v2</t>
        </is>
      </c>
      <c r="D956" t="inlineStr">
        <is>
          <t>Prospecting | Broad | EG</t>
        </is>
      </c>
      <c r="E956" t="inlineStr">
        <is>
          <t>TT-UGC-Trend</t>
        </is>
      </c>
      <c r="F956" t="n">
        <v>234.6</v>
      </c>
      <c r="G956" s="20" t="n">
        <v>4862</v>
      </c>
      <c r="H956" s="21" t="n">
        <v>51</v>
      </c>
      <c r="I956" s="21" t="n">
        <v>1</v>
      </c>
      <c r="J956" s="21" t="n">
        <v>661.73</v>
      </c>
    </row>
    <row r="957">
      <c r="A957" s="19" t="n">
        <v>46276</v>
      </c>
      <c r="B957" t="inlineStr">
        <is>
          <t>TikTok</t>
        </is>
      </c>
      <c r="C957" t="inlineStr">
        <is>
          <t>Spark ad | Creator A</t>
        </is>
      </c>
      <c r="D957" t="inlineStr">
        <is>
          <t>Spark | Creator A</t>
        </is>
      </c>
      <c r="E957" t="inlineStr">
        <is>
          <t>TT-Spark-CreatorA</t>
        </is>
      </c>
      <c r="F957" t="n">
        <v>358.54</v>
      </c>
      <c r="G957" s="20" t="n">
        <v>7430</v>
      </c>
      <c r="H957" s="21" t="n">
        <v>79</v>
      </c>
      <c r="I957" s="21" t="n">
        <v>2</v>
      </c>
      <c r="J957" s="21" t="n">
        <v>1342.16</v>
      </c>
    </row>
    <row r="958">
      <c r="A958" s="19" t="n">
        <v>46277</v>
      </c>
      <c r="B958" t="inlineStr">
        <is>
          <t>TikTok</t>
        </is>
      </c>
      <c r="C958" t="inlineStr">
        <is>
          <t>UGC | Problem-solution | v2</t>
        </is>
      </c>
      <c r="D958" t="inlineStr">
        <is>
          <t>Prospecting | Broad | EG</t>
        </is>
      </c>
      <c r="E958" t="inlineStr">
        <is>
          <t>TT-UGC-ProbSol</t>
        </is>
      </c>
      <c r="F958" t="n">
        <v>334.17</v>
      </c>
      <c r="G958" s="20" t="n">
        <v>6503</v>
      </c>
      <c r="H958" s="21" t="n">
        <v>73</v>
      </c>
      <c r="I958" s="21" t="n">
        <v>1</v>
      </c>
      <c r="J958" s="21" t="n">
        <v>630.4400000000001</v>
      </c>
    </row>
    <row r="959">
      <c r="A959" s="19" t="n">
        <v>46277</v>
      </c>
      <c r="B959" t="inlineStr">
        <is>
          <t>TikTok</t>
        </is>
      </c>
      <c r="C959" t="inlineStr">
        <is>
          <t>UGC | Trend audio | v1</t>
        </is>
      </c>
      <c r="D959" t="inlineStr">
        <is>
          <t>Prospecting | Broad | EG</t>
        </is>
      </c>
      <c r="E959" t="inlineStr">
        <is>
          <t>TT-UGC-Trend</t>
        </is>
      </c>
      <c r="F959" t="n">
        <v>277.86</v>
      </c>
      <c r="G959" s="20" t="n">
        <v>5407</v>
      </c>
      <c r="H959" s="21" t="n">
        <v>60</v>
      </c>
      <c r="I959" s="21" t="n">
        <v>1</v>
      </c>
      <c r="J959" s="21" t="n">
        <v>681.47</v>
      </c>
    </row>
    <row r="960">
      <c r="A960" s="19" t="n">
        <v>46277</v>
      </c>
      <c r="B960" t="inlineStr">
        <is>
          <t>TikTok</t>
        </is>
      </c>
      <c r="C960" t="inlineStr">
        <is>
          <t>UGC | Trend audio | v2</t>
        </is>
      </c>
      <c r="D960" t="inlineStr">
        <is>
          <t>Prospecting | Broad | EG</t>
        </is>
      </c>
      <c r="E960" t="inlineStr">
        <is>
          <t>TT-UGC-Trend</t>
        </is>
      </c>
      <c r="F960" t="n">
        <v>222.32</v>
      </c>
      <c r="G960" s="20" t="n">
        <v>4326</v>
      </c>
      <c r="H960" s="21" t="n">
        <v>48</v>
      </c>
      <c r="I960" s="21" t="n">
        <v>1</v>
      </c>
      <c r="J960" s="21" t="n">
        <v>638.34</v>
      </c>
    </row>
    <row r="961">
      <c r="A961" s="19" t="n">
        <v>46277</v>
      </c>
      <c r="B961" t="inlineStr">
        <is>
          <t>TikTok</t>
        </is>
      </c>
      <c r="C961" t="inlineStr">
        <is>
          <t>Spark ad | Creator A</t>
        </is>
      </c>
      <c r="D961" t="inlineStr">
        <is>
          <t>Spark | Creator A</t>
        </is>
      </c>
      <c r="E961" t="inlineStr">
        <is>
          <t>TT-Spark-CreatorA</t>
        </is>
      </c>
      <c r="F961" t="n">
        <v>321.86</v>
      </c>
      <c r="G961" s="20" t="n">
        <v>6263</v>
      </c>
      <c r="H961" s="21" t="n">
        <v>70</v>
      </c>
      <c r="I961" s="21" t="n">
        <v>1</v>
      </c>
      <c r="J961" s="21" t="n">
        <v>686.72</v>
      </c>
    </row>
    <row r="962">
      <c r="A962" s="19" t="n">
        <v>46278</v>
      </c>
      <c r="B962" t="inlineStr">
        <is>
          <t>TikTok</t>
        </is>
      </c>
      <c r="C962" t="inlineStr">
        <is>
          <t>UGC | Problem-solution | v2</t>
        </is>
      </c>
      <c r="D962" t="inlineStr">
        <is>
          <t>Prospecting | Broad | EG</t>
        </is>
      </c>
      <c r="E962" t="inlineStr">
        <is>
          <t>TT-UGC-ProbSol</t>
        </is>
      </c>
      <c r="F962" t="n">
        <v>361.6</v>
      </c>
      <c r="G962" s="20" t="n">
        <v>7569</v>
      </c>
      <c r="H962" s="21" t="n">
        <v>91</v>
      </c>
      <c r="I962" s="21" t="n">
        <v>2</v>
      </c>
      <c r="J962" s="21" t="n">
        <v>1183.41</v>
      </c>
    </row>
    <row r="963">
      <c r="A963" s="19" t="n">
        <v>46278</v>
      </c>
      <c r="B963" t="inlineStr">
        <is>
          <t>TikTok</t>
        </is>
      </c>
      <c r="C963" t="inlineStr">
        <is>
          <t>UGC | Trend audio | v1</t>
        </is>
      </c>
      <c r="D963" t="inlineStr">
        <is>
          <t>Prospecting | Broad | EG</t>
        </is>
      </c>
      <c r="E963" t="inlineStr">
        <is>
          <t>TT-UGC-Trend</t>
        </is>
      </c>
      <c r="F963" t="n">
        <v>320.53</v>
      </c>
      <c r="G963" s="20" t="n">
        <v>6709</v>
      </c>
      <c r="H963" s="21" t="n">
        <v>81</v>
      </c>
      <c r="I963" s="21" t="n">
        <v>1</v>
      </c>
      <c r="J963" s="21" t="n">
        <v>593.73</v>
      </c>
    </row>
    <row r="964">
      <c r="A964" s="19" t="n">
        <v>46278</v>
      </c>
      <c r="B964" t="inlineStr">
        <is>
          <t>TikTok</t>
        </is>
      </c>
      <c r="C964" t="inlineStr">
        <is>
          <t>UGC | Trend audio | v2</t>
        </is>
      </c>
      <c r="D964" t="inlineStr">
        <is>
          <t>Prospecting | Broad | EG</t>
        </is>
      </c>
      <c r="E964" t="inlineStr">
        <is>
          <t>TT-UGC-Trend</t>
        </is>
      </c>
      <c r="F964" t="n">
        <v>254.77</v>
      </c>
      <c r="G964" s="20" t="n">
        <v>5333</v>
      </c>
      <c r="H964" s="21" t="n">
        <v>64</v>
      </c>
      <c r="I964" s="21" t="n">
        <v>1</v>
      </c>
      <c r="J964" s="21" t="n">
        <v>594.54</v>
      </c>
    </row>
    <row r="965">
      <c r="A965" s="19" t="n">
        <v>46278</v>
      </c>
      <c r="B965" t="inlineStr">
        <is>
          <t>TikTok</t>
        </is>
      </c>
      <c r="C965" t="inlineStr">
        <is>
          <t>Spark ad | Creator A</t>
        </is>
      </c>
      <c r="D965" t="inlineStr">
        <is>
          <t>Spark | Creator A</t>
        </is>
      </c>
      <c r="E965" t="inlineStr">
        <is>
          <t>TT-Spark-CreatorA</t>
        </is>
      </c>
      <c r="F965" t="n">
        <v>319.82</v>
      </c>
      <c r="G965" s="20" t="n">
        <v>6695</v>
      </c>
      <c r="H965" s="21" t="n">
        <v>80</v>
      </c>
      <c r="I965" s="21" t="n">
        <v>2</v>
      </c>
      <c r="J965" s="21" t="n">
        <v>1067.12</v>
      </c>
    </row>
    <row r="966">
      <c r="A966" s="19" t="n">
        <v>46279</v>
      </c>
      <c r="B966" t="inlineStr">
        <is>
          <t>TikTok</t>
        </is>
      </c>
      <c r="C966" t="inlineStr">
        <is>
          <t>UGC | Problem-solution | v2</t>
        </is>
      </c>
      <c r="D966" t="inlineStr">
        <is>
          <t>Prospecting | Broad | EG</t>
        </is>
      </c>
      <c r="E966" t="inlineStr">
        <is>
          <t>TT-UGC-ProbSol</t>
        </is>
      </c>
      <c r="F966" t="n">
        <v>406.21</v>
      </c>
      <c r="G966" s="20" t="n">
        <v>8351</v>
      </c>
      <c r="H966" s="21" t="n">
        <v>100</v>
      </c>
      <c r="I966" s="21" t="n">
        <v>2</v>
      </c>
      <c r="J966" s="21" t="n">
        <v>1083.62</v>
      </c>
    </row>
    <row r="967">
      <c r="A967" s="19" t="n">
        <v>46279</v>
      </c>
      <c r="B967" t="inlineStr">
        <is>
          <t>TikTok</t>
        </is>
      </c>
      <c r="C967" t="inlineStr">
        <is>
          <t>UGC | Trend audio | v1</t>
        </is>
      </c>
      <c r="D967" t="inlineStr">
        <is>
          <t>Prospecting | Broad | EG</t>
        </is>
      </c>
      <c r="E967" t="inlineStr">
        <is>
          <t>TT-UGC-Trend</t>
        </is>
      </c>
      <c r="F967" t="n">
        <v>226.19</v>
      </c>
      <c r="G967" s="20" t="n">
        <v>4650</v>
      </c>
      <c r="H967" s="21" t="n">
        <v>56</v>
      </c>
      <c r="I967" s="21" t="n">
        <v>1</v>
      </c>
      <c r="J967" s="21" t="n">
        <v>606.4400000000001</v>
      </c>
    </row>
    <row r="968">
      <c r="A968" s="19" t="n">
        <v>46279</v>
      </c>
      <c r="B968" t="inlineStr">
        <is>
          <t>TikTok</t>
        </is>
      </c>
      <c r="C968" t="inlineStr">
        <is>
          <t>UGC | Trend audio | v2</t>
        </is>
      </c>
      <c r="D968" t="inlineStr">
        <is>
          <t>Prospecting | Broad | EG</t>
        </is>
      </c>
      <c r="E968" t="inlineStr">
        <is>
          <t>TT-UGC-Trend</t>
        </is>
      </c>
      <c r="F968" t="n">
        <v>173.55</v>
      </c>
      <c r="G968" s="20" t="n">
        <v>3568</v>
      </c>
      <c r="H968" s="21" t="n">
        <v>43</v>
      </c>
      <c r="I968" s="21" t="n">
        <v>1</v>
      </c>
      <c r="J968" s="21" t="n">
        <v>516.67</v>
      </c>
    </row>
    <row r="969">
      <c r="A969" s="19" t="n">
        <v>46279</v>
      </c>
      <c r="B969" t="inlineStr">
        <is>
          <t>TikTok</t>
        </is>
      </c>
      <c r="C969" t="inlineStr">
        <is>
          <t>Spark ad | Creator A</t>
        </is>
      </c>
      <c r="D969" t="inlineStr">
        <is>
          <t>Spark | Creator A</t>
        </is>
      </c>
      <c r="E969" t="inlineStr">
        <is>
          <t>TT-Spark-CreatorA</t>
        </is>
      </c>
      <c r="F969" t="n">
        <v>241.37</v>
      </c>
      <c r="G969" s="20" t="n">
        <v>4962</v>
      </c>
      <c r="H969" s="21" t="n">
        <v>59</v>
      </c>
      <c r="I969" s="21" t="n">
        <v>2</v>
      </c>
      <c r="J969" s="21" t="n">
        <v>1048.49</v>
      </c>
    </row>
    <row r="970">
      <c r="A970" s="19" t="n">
        <v>46280</v>
      </c>
      <c r="B970" t="inlineStr">
        <is>
          <t>TikTok</t>
        </is>
      </c>
      <c r="C970" t="inlineStr">
        <is>
          <t>UGC | Problem-solution | v2</t>
        </is>
      </c>
      <c r="D970" t="inlineStr">
        <is>
          <t>Prospecting | Broad | EG</t>
        </is>
      </c>
      <c r="E970" t="inlineStr">
        <is>
          <t>TT-UGC-ProbSol</t>
        </is>
      </c>
      <c r="F970" t="n">
        <v>384.47</v>
      </c>
      <c r="G970" s="20" t="n">
        <v>8048</v>
      </c>
      <c r="H970" s="21" t="n">
        <v>90</v>
      </c>
      <c r="I970" s="21" t="n">
        <v>2</v>
      </c>
      <c r="J970" s="21" t="n">
        <v>1334.41</v>
      </c>
    </row>
    <row r="971">
      <c r="A971" s="19" t="n">
        <v>46280</v>
      </c>
      <c r="B971" t="inlineStr">
        <is>
          <t>TikTok</t>
        </is>
      </c>
      <c r="C971" t="inlineStr">
        <is>
          <t>UGC | Trend audio | v1</t>
        </is>
      </c>
      <c r="D971" t="inlineStr">
        <is>
          <t>Prospecting | Broad | EG</t>
        </is>
      </c>
      <c r="E971" t="inlineStr">
        <is>
          <t>TT-UGC-Trend</t>
        </is>
      </c>
      <c r="F971" t="n">
        <v>228.2</v>
      </c>
      <c r="G971" s="20" t="n">
        <v>4777</v>
      </c>
      <c r="H971" s="21" t="n">
        <v>53</v>
      </c>
      <c r="I971" s="21" t="n">
        <v>0</v>
      </c>
      <c r="J971" s="21" t="n">
        <v>0</v>
      </c>
    </row>
    <row r="972">
      <c r="A972" s="19" t="n">
        <v>46280</v>
      </c>
      <c r="B972" t="inlineStr">
        <is>
          <t>TikTok</t>
        </is>
      </c>
      <c r="C972" t="inlineStr">
        <is>
          <t>UGC | Trend audio | v2</t>
        </is>
      </c>
      <c r="D972" t="inlineStr">
        <is>
          <t>Prospecting | Broad | EG</t>
        </is>
      </c>
      <c r="E972" t="inlineStr">
        <is>
          <t>TT-UGC-Trend</t>
        </is>
      </c>
      <c r="F972" t="n">
        <v>167.09</v>
      </c>
      <c r="G972" s="20" t="n">
        <v>3498</v>
      </c>
      <c r="H972" s="21" t="n">
        <v>39</v>
      </c>
      <c r="I972" s="21" t="n">
        <v>1</v>
      </c>
      <c r="J972" s="21" t="n">
        <v>683.79</v>
      </c>
    </row>
    <row r="973">
      <c r="A973" s="19" t="n">
        <v>46280</v>
      </c>
      <c r="B973" t="inlineStr">
        <is>
          <t>TikTok</t>
        </is>
      </c>
      <c r="C973" t="inlineStr">
        <is>
          <t>Spark ad | Creator A</t>
        </is>
      </c>
      <c r="D973" t="inlineStr">
        <is>
          <t>Spark | Creator A</t>
        </is>
      </c>
      <c r="E973" t="inlineStr">
        <is>
          <t>TT-Spark-CreatorA</t>
        </is>
      </c>
      <c r="F973" t="n">
        <v>287.41</v>
      </c>
      <c r="G973" s="20" t="n">
        <v>6016</v>
      </c>
      <c r="H973" s="21" t="n">
        <v>67</v>
      </c>
      <c r="I973" s="21" t="n">
        <v>2</v>
      </c>
      <c r="J973" s="21" t="n">
        <v>1209.92</v>
      </c>
    </row>
    <row r="974">
      <c r="A974" s="19" t="n">
        <v>46281</v>
      </c>
      <c r="B974" t="inlineStr">
        <is>
          <t>TikTok</t>
        </is>
      </c>
      <c r="C974" t="inlineStr">
        <is>
          <t>UGC | Problem-solution | v2</t>
        </is>
      </c>
      <c r="D974" t="inlineStr">
        <is>
          <t>Prospecting | Broad | EG</t>
        </is>
      </c>
      <c r="E974" t="inlineStr">
        <is>
          <t>TT-UGC-ProbSol</t>
        </is>
      </c>
      <c r="F974" t="n">
        <v>484.26</v>
      </c>
      <c r="G974" s="20" t="n">
        <v>10287</v>
      </c>
      <c r="H974" s="21" t="n">
        <v>129</v>
      </c>
      <c r="I974" s="21" t="n">
        <v>2</v>
      </c>
      <c r="J974" s="21" t="n">
        <v>1351.93</v>
      </c>
    </row>
    <row r="975">
      <c r="A975" s="19" t="n">
        <v>46281</v>
      </c>
      <c r="B975" t="inlineStr">
        <is>
          <t>TikTok</t>
        </is>
      </c>
      <c r="C975" t="inlineStr">
        <is>
          <t>UGC | Trend audio | v1</t>
        </is>
      </c>
      <c r="D975" t="inlineStr">
        <is>
          <t>Prospecting | Broad | EG</t>
        </is>
      </c>
      <c r="E975" t="inlineStr">
        <is>
          <t>TT-UGC-Trend</t>
        </is>
      </c>
      <c r="F975" t="n">
        <v>321.46</v>
      </c>
      <c r="G975" s="20" t="n">
        <v>6828</v>
      </c>
      <c r="H975" s="21" t="n">
        <v>86</v>
      </c>
      <c r="I975" s="21" t="n">
        <v>1</v>
      </c>
      <c r="J975" s="21" t="n">
        <v>676.9299999999999</v>
      </c>
    </row>
    <row r="976">
      <c r="A976" s="19" t="n">
        <v>46281</v>
      </c>
      <c r="B976" t="inlineStr">
        <is>
          <t>TikTok</t>
        </is>
      </c>
      <c r="C976" t="inlineStr">
        <is>
          <t>UGC | Trend audio | v2</t>
        </is>
      </c>
      <c r="D976" t="inlineStr">
        <is>
          <t>Prospecting | Broad | EG</t>
        </is>
      </c>
      <c r="E976" t="inlineStr">
        <is>
          <t>TT-UGC-Trend</t>
        </is>
      </c>
      <c r="F976" t="n">
        <v>202.71</v>
      </c>
      <c r="G976" s="20" t="n">
        <v>4306</v>
      </c>
      <c r="H976" s="21" t="n">
        <v>54</v>
      </c>
      <c r="I976" s="21" t="n">
        <v>1</v>
      </c>
      <c r="J976" s="21" t="n">
        <v>647</v>
      </c>
    </row>
    <row r="977">
      <c r="A977" s="19" t="n">
        <v>46281</v>
      </c>
      <c r="B977" t="inlineStr">
        <is>
          <t>TikTok</t>
        </is>
      </c>
      <c r="C977" t="inlineStr">
        <is>
          <t>Spark ad | Creator A</t>
        </is>
      </c>
      <c r="D977" t="inlineStr">
        <is>
          <t>Spark | Creator A</t>
        </is>
      </c>
      <c r="E977" t="inlineStr">
        <is>
          <t>TT-Spark-CreatorA</t>
        </is>
      </c>
      <c r="F977" t="n">
        <v>297.41</v>
      </c>
      <c r="G977" s="20" t="n">
        <v>6318</v>
      </c>
      <c r="H977" s="21" t="n">
        <v>79</v>
      </c>
      <c r="I977" s="21" t="n">
        <v>2</v>
      </c>
      <c r="J977" s="21" t="n">
        <v>1251.33</v>
      </c>
    </row>
    <row r="978">
      <c r="A978" s="19" t="n">
        <v>46282</v>
      </c>
      <c r="B978" t="inlineStr">
        <is>
          <t>TikTok</t>
        </is>
      </c>
      <c r="C978" t="inlineStr">
        <is>
          <t>UGC | Problem-solution | v2</t>
        </is>
      </c>
      <c r="D978" t="inlineStr">
        <is>
          <t>Prospecting | Broad | EG</t>
        </is>
      </c>
      <c r="E978" t="inlineStr">
        <is>
          <t>TT-UGC-ProbSol</t>
        </is>
      </c>
      <c r="F978" t="n">
        <v>465.63</v>
      </c>
      <c r="G978" s="20" t="n">
        <v>8990</v>
      </c>
      <c r="H978" s="21" t="n">
        <v>114</v>
      </c>
      <c r="I978" s="21" t="n">
        <v>3</v>
      </c>
      <c r="J978" s="21" t="n">
        <v>1696.95</v>
      </c>
    </row>
    <row r="979">
      <c r="A979" s="19" t="n">
        <v>46282</v>
      </c>
      <c r="B979" t="inlineStr">
        <is>
          <t>TikTok</t>
        </is>
      </c>
      <c r="C979" t="inlineStr">
        <is>
          <t>UGC | Trend audio | v1</t>
        </is>
      </c>
      <c r="D979" t="inlineStr">
        <is>
          <t>Prospecting | Broad | EG</t>
        </is>
      </c>
      <c r="E979" t="inlineStr">
        <is>
          <t>TT-UGC-Trend</t>
        </is>
      </c>
      <c r="F979" t="n">
        <v>295.61</v>
      </c>
      <c r="G979" s="20" t="n">
        <v>5708</v>
      </c>
      <c r="H979" s="21" t="n">
        <v>72</v>
      </c>
      <c r="I979" s="21" t="n">
        <v>1</v>
      </c>
      <c r="J979" s="21" t="n">
        <v>617.45</v>
      </c>
    </row>
    <row r="980">
      <c r="A980" s="19" t="n">
        <v>46282</v>
      </c>
      <c r="B980" t="inlineStr">
        <is>
          <t>TikTok</t>
        </is>
      </c>
      <c r="C980" t="inlineStr">
        <is>
          <t>UGC | Trend audio | v2</t>
        </is>
      </c>
      <c r="D980" t="inlineStr">
        <is>
          <t>Prospecting | Broad | EG</t>
        </is>
      </c>
      <c r="E980" t="inlineStr">
        <is>
          <t>TT-UGC-Trend</t>
        </is>
      </c>
      <c r="F980" t="n">
        <v>265.13</v>
      </c>
      <c r="G980" s="20" t="n">
        <v>5119</v>
      </c>
      <c r="H980" s="21" t="n">
        <v>65</v>
      </c>
      <c r="I980" s="21" t="n">
        <v>1</v>
      </c>
      <c r="J980" s="21" t="n">
        <v>638.6</v>
      </c>
    </row>
    <row r="981">
      <c r="A981" s="19" t="n">
        <v>46282</v>
      </c>
      <c r="B981" t="inlineStr">
        <is>
          <t>TikTok</t>
        </is>
      </c>
      <c r="C981" t="inlineStr">
        <is>
          <t>Spark ad | Creator A</t>
        </is>
      </c>
      <c r="D981" t="inlineStr">
        <is>
          <t>Spark | Creator A</t>
        </is>
      </c>
      <c r="E981" t="inlineStr">
        <is>
          <t>TT-Spark-CreatorA</t>
        </is>
      </c>
      <c r="F981" t="n">
        <v>408.54</v>
      </c>
      <c r="G981" s="20" t="n">
        <v>7888</v>
      </c>
      <c r="H981" s="21" t="n">
        <v>100</v>
      </c>
      <c r="I981" s="21" t="n">
        <v>3</v>
      </c>
      <c r="J981" s="21" t="n">
        <v>1703.19</v>
      </c>
    </row>
    <row r="982">
      <c r="A982" s="19" t="n">
        <v>46283</v>
      </c>
      <c r="B982" t="inlineStr">
        <is>
          <t>TikTok</t>
        </is>
      </c>
      <c r="C982" t="inlineStr">
        <is>
          <t>UGC | Problem-solution | v2</t>
        </is>
      </c>
      <c r="D982" t="inlineStr">
        <is>
          <t>Prospecting | Broad | EG</t>
        </is>
      </c>
      <c r="E982" t="inlineStr">
        <is>
          <t>TT-UGC-ProbSol</t>
        </is>
      </c>
      <c r="F982" t="n">
        <v>533.61</v>
      </c>
      <c r="G982" s="20" t="n">
        <v>10506</v>
      </c>
      <c r="H982" s="21" t="n">
        <v>132</v>
      </c>
      <c r="I982" s="21" t="n">
        <v>3</v>
      </c>
      <c r="J982" s="21" t="n">
        <v>2016.02</v>
      </c>
    </row>
    <row r="983">
      <c r="A983" s="19" t="n">
        <v>46283</v>
      </c>
      <c r="B983" t="inlineStr">
        <is>
          <t>TikTok</t>
        </is>
      </c>
      <c r="C983" t="inlineStr">
        <is>
          <t>UGC | Trend audio | v1</t>
        </is>
      </c>
      <c r="D983" t="inlineStr">
        <is>
          <t>Prospecting | Broad | EG</t>
        </is>
      </c>
      <c r="E983" t="inlineStr">
        <is>
          <t>TT-UGC-Trend</t>
        </is>
      </c>
      <c r="F983" t="n">
        <v>380.69</v>
      </c>
      <c r="G983" s="20" t="n">
        <v>7495</v>
      </c>
      <c r="H983" s="21" t="n">
        <v>94</v>
      </c>
      <c r="I983" s="21" t="n">
        <v>1</v>
      </c>
      <c r="J983" s="21" t="n">
        <v>632.48</v>
      </c>
    </row>
    <row r="984">
      <c r="A984" s="19" t="n">
        <v>46283</v>
      </c>
      <c r="B984" t="inlineStr">
        <is>
          <t>TikTok</t>
        </is>
      </c>
      <c r="C984" t="inlineStr">
        <is>
          <t>UGC | Trend audio | v2</t>
        </is>
      </c>
      <c r="D984" t="inlineStr">
        <is>
          <t>Prospecting | Broad | EG</t>
        </is>
      </c>
      <c r="E984" t="inlineStr">
        <is>
          <t>TT-UGC-Trend</t>
        </is>
      </c>
      <c r="F984" t="n">
        <v>253</v>
      </c>
      <c r="G984" s="20" t="n">
        <v>4981</v>
      </c>
      <c r="H984" s="21" t="n">
        <v>62</v>
      </c>
      <c r="I984" s="21" t="n">
        <v>1</v>
      </c>
      <c r="J984" s="21" t="n">
        <v>616.12</v>
      </c>
    </row>
    <row r="985">
      <c r="A985" s="19" t="n">
        <v>46283</v>
      </c>
      <c r="B985" t="inlineStr">
        <is>
          <t>TikTok</t>
        </is>
      </c>
      <c r="C985" t="inlineStr">
        <is>
          <t>Spark ad | Creator A</t>
        </is>
      </c>
      <c r="D985" t="inlineStr">
        <is>
          <t>Spark | Creator A</t>
        </is>
      </c>
      <c r="E985" t="inlineStr">
        <is>
          <t>TT-Spark-CreatorA</t>
        </is>
      </c>
      <c r="F985" t="n">
        <v>364.98</v>
      </c>
      <c r="G985" s="20" t="n">
        <v>7186</v>
      </c>
      <c r="H985" s="21" t="n">
        <v>90</v>
      </c>
      <c r="I985" s="21" t="n">
        <v>2</v>
      </c>
      <c r="J985" s="21" t="n">
        <v>1369.58</v>
      </c>
    </row>
    <row r="986">
      <c r="A986" s="19" t="n">
        <v>46284</v>
      </c>
      <c r="B986" t="inlineStr">
        <is>
          <t>TikTok</t>
        </is>
      </c>
      <c r="C986" t="inlineStr">
        <is>
          <t>UGC | Problem-solution | v2</t>
        </is>
      </c>
      <c r="D986" t="inlineStr">
        <is>
          <t>Prospecting | Broad | EG</t>
        </is>
      </c>
      <c r="E986" t="inlineStr">
        <is>
          <t>TT-UGC-ProbSol</t>
        </is>
      </c>
      <c r="F986" t="n">
        <v>636.09</v>
      </c>
      <c r="G986" s="20" t="n">
        <v>12746</v>
      </c>
      <c r="H986" s="21" t="n">
        <v>173</v>
      </c>
      <c r="I986" s="21" t="n">
        <v>4</v>
      </c>
      <c r="J986" s="21" t="n">
        <v>2399.24</v>
      </c>
    </row>
    <row r="987">
      <c r="A987" s="19" t="n">
        <v>46284</v>
      </c>
      <c r="B987" t="inlineStr">
        <is>
          <t>TikTok</t>
        </is>
      </c>
      <c r="C987" t="inlineStr">
        <is>
          <t>UGC | Trend audio | v1</t>
        </is>
      </c>
      <c r="D987" t="inlineStr">
        <is>
          <t>Prospecting | Broad | EG</t>
        </is>
      </c>
      <c r="E987" t="inlineStr">
        <is>
          <t>TT-UGC-Trend</t>
        </is>
      </c>
      <c r="F987" t="n">
        <v>386.9</v>
      </c>
      <c r="G987" s="20" t="n">
        <v>7753</v>
      </c>
      <c r="H987" s="21" t="n">
        <v>105</v>
      </c>
      <c r="I987" s="21" t="n">
        <v>1</v>
      </c>
      <c r="J987" s="21" t="n">
        <v>666.12</v>
      </c>
    </row>
    <row r="988">
      <c r="A988" s="19" t="n">
        <v>46284</v>
      </c>
      <c r="B988" t="inlineStr">
        <is>
          <t>TikTok</t>
        </is>
      </c>
      <c r="C988" t="inlineStr">
        <is>
          <t>UGC | Trend audio | v2</t>
        </is>
      </c>
      <c r="D988" t="inlineStr">
        <is>
          <t>Prospecting | Broad | EG</t>
        </is>
      </c>
      <c r="E988" t="inlineStr">
        <is>
          <t>TT-UGC-Trend</t>
        </is>
      </c>
      <c r="F988" t="n">
        <v>291.61</v>
      </c>
      <c r="G988" s="20" t="n">
        <v>5843</v>
      </c>
      <c r="H988" s="21" t="n">
        <v>79</v>
      </c>
      <c r="I988" s="21" t="n">
        <v>2</v>
      </c>
      <c r="J988" s="21" t="n">
        <v>1289.26</v>
      </c>
    </row>
    <row r="989">
      <c r="A989" s="19" t="n">
        <v>46284</v>
      </c>
      <c r="B989" t="inlineStr">
        <is>
          <t>TikTok</t>
        </is>
      </c>
      <c r="C989" t="inlineStr">
        <is>
          <t>Spark ad | Creator A</t>
        </is>
      </c>
      <c r="D989" t="inlineStr">
        <is>
          <t>Spark | Creator A</t>
        </is>
      </c>
      <c r="E989" t="inlineStr">
        <is>
          <t>TT-Spark-CreatorA</t>
        </is>
      </c>
      <c r="F989" t="n">
        <v>429.42</v>
      </c>
      <c r="G989" s="20" t="n">
        <v>8605</v>
      </c>
      <c r="H989" s="21" t="n">
        <v>116</v>
      </c>
      <c r="I989" s="21" t="n">
        <v>3</v>
      </c>
      <c r="J989" s="21" t="n">
        <v>1973.4</v>
      </c>
    </row>
    <row r="990">
      <c r="A990" s="19" t="n">
        <v>46285</v>
      </c>
      <c r="B990" t="inlineStr">
        <is>
          <t>TikTok</t>
        </is>
      </c>
      <c r="C990" t="inlineStr">
        <is>
          <t>UGC | Problem-solution | v2</t>
        </is>
      </c>
      <c r="D990" t="inlineStr">
        <is>
          <t>Prospecting | Broad | EG</t>
        </is>
      </c>
      <c r="E990" t="inlineStr">
        <is>
          <t>TT-UGC-ProbSol</t>
        </is>
      </c>
      <c r="F990" t="n">
        <v>611.26</v>
      </c>
      <c r="G990" s="20" t="n">
        <v>12629</v>
      </c>
      <c r="H990" s="21" t="n">
        <v>167</v>
      </c>
      <c r="I990" s="21" t="n">
        <v>3</v>
      </c>
      <c r="J990" s="21" t="n">
        <v>2078.56</v>
      </c>
    </row>
    <row r="991">
      <c r="A991" s="19" t="n">
        <v>46285</v>
      </c>
      <c r="B991" t="inlineStr">
        <is>
          <t>TikTok</t>
        </is>
      </c>
      <c r="C991" t="inlineStr">
        <is>
          <t>UGC | Trend audio | v1</t>
        </is>
      </c>
      <c r="D991" t="inlineStr">
        <is>
          <t>Prospecting | Broad | EG</t>
        </is>
      </c>
      <c r="E991" t="inlineStr">
        <is>
          <t>TT-UGC-Trend</t>
        </is>
      </c>
      <c r="F991" t="n">
        <v>426.96</v>
      </c>
      <c r="G991" s="20" t="n">
        <v>8821</v>
      </c>
      <c r="H991" s="21" t="n">
        <v>117</v>
      </c>
      <c r="I991" s="21" t="n">
        <v>2</v>
      </c>
      <c r="J991" s="21" t="n">
        <v>1379.74</v>
      </c>
    </row>
    <row r="992">
      <c r="A992" s="19" t="n">
        <v>46285</v>
      </c>
      <c r="B992" t="inlineStr">
        <is>
          <t>TikTok</t>
        </is>
      </c>
      <c r="C992" t="inlineStr">
        <is>
          <t>UGC | Trend audio | v2</t>
        </is>
      </c>
      <c r="D992" t="inlineStr">
        <is>
          <t>Prospecting | Broad | EG</t>
        </is>
      </c>
      <c r="E992" t="inlineStr">
        <is>
          <t>TT-UGC-Trend</t>
        </is>
      </c>
      <c r="F992" t="n">
        <v>260.44</v>
      </c>
      <c r="G992" s="20" t="n">
        <v>5381</v>
      </c>
      <c r="H992" s="21" t="n">
        <v>71</v>
      </c>
      <c r="I992" s="21" t="n">
        <v>1</v>
      </c>
      <c r="J992" s="21" t="n">
        <v>602.9</v>
      </c>
    </row>
    <row r="993">
      <c r="A993" s="19" t="n">
        <v>46285</v>
      </c>
      <c r="B993" t="inlineStr">
        <is>
          <t>TikTok</t>
        </is>
      </c>
      <c r="C993" t="inlineStr">
        <is>
          <t>Spark ad | Creator A</t>
        </is>
      </c>
      <c r="D993" t="inlineStr">
        <is>
          <t>Spark | Creator A</t>
        </is>
      </c>
      <c r="E993" t="inlineStr">
        <is>
          <t>TT-Spark-CreatorA</t>
        </is>
      </c>
      <c r="F993" t="n">
        <v>431.84</v>
      </c>
      <c r="G993" s="20" t="n">
        <v>8922</v>
      </c>
      <c r="H993" s="21" t="n">
        <v>118</v>
      </c>
      <c r="I993" s="21" t="n">
        <v>3</v>
      </c>
      <c r="J993" s="21" t="n">
        <v>1874.54</v>
      </c>
    </row>
    <row r="994">
      <c r="A994" s="19" t="n">
        <v>46286</v>
      </c>
      <c r="B994" t="inlineStr">
        <is>
          <t>TikTok</t>
        </is>
      </c>
      <c r="C994" t="inlineStr">
        <is>
          <t>UGC | Problem-solution | v2</t>
        </is>
      </c>
      <c r="D994" t="inlineStr">
        <is>
          <t>Prospecting | Broad | EG</t>
        </is>
      </c>
      <c r="E994" t="inlineStr">
        <is>
          <t>TT-UGC-ProbSol</t>
        </is>
      </c>
      <c r="F994" t="n">
        <v>530.3099999999999</v>
      </c>
      <c r="G994" s="20" t="n">
        <v>10529</v>
      </c>
      <c r="H994" s="21" t="n">
        <v>139</v>
      </c>
      <c r="I994" s="21" t="n">
        <v>3</v>
      </c>
      <c r="J994" s="21" t="n">
        <v>1895.75</v>
      </c>
    </row>
    <row r="995">
      <c r="A995" s="19" t="n">
        <v>46286</v>
      </c>
      <c r="B995" t="inlineStr">
        <is>
          <t>TikTok</t>
        </is>
      </c>
      <c r="C995" t="inlineStr">
        <is>
          <t>UGC | Trend audio | v1</t>
        </is>
      </c>
      <c r="D995" t="inlineStr">
        <is>
          <t>Prospecting | Broad | EG</t>
        </is>
      </c>
      <c r="E995" t="inlineStr">
        <is>
          <t>TT-UGC-Trend</t>
        </is>
      </c>
      <c r="F995" t="n">
        <v>338.73</v>
      </c>
      <c r="G995" s="20" t="n">
        <v>6725</v>
      </c>
      <c r="H995" s="21" t="n">
        <v>89</v>
      </c>
      <c r="I995" s="21" t="n">
        <v>1</v>
      </c>
      <c r="J995" s="21" t="n">
        <v>641.11</v>
      </c>
    </row>
    <row r="996">
      <c r="A996" s="19" t="n">
        <v>46286</v>
      </c>
      <c r="B996" t="inlineStr">
        <is>
          <t>TikTok</t>
        </is>
      </c>
      <c r="C996" t="inlineStr">
        <is>
          <t>UGC | Trend audio | v2</t>
        </is>
      </c>
      <c r="D996" t="inlineStr">
        <is>
          <t>Prospecting | Broad | EG</t>
        </is>
      </c>
      <c r="E996" t="inlineStr">
        <is>
          <t>TT-UGC-Trend</t>
        </is>
      </c>
      <c r="F996" t="n">
        <v>277.16</v>
      </c>
      <c r="G996" s="20" t="n">
        <v>5503</v>
      </c>
      <c r="H996" s="21" t="n">
        <v>73</v>
      </c>
      <c r="I996" s="21" t="n">
        <v>1</v>
      </c>
      <c r="J996" s="21" t="n">
        <v>579.11</v>
      </c>
    </row>
    <row r="997">
      <c r="A997" s="19" t="n">
        <v>46286</v>
      </c>
      <c r="B997" t="inlineStr">
        <is>
          <t>TikTok</t>
        </is>
      </c>
      <c r="C997" t="inlineStr">
        <is>
          <t>Spark ad | Creator A</t>
        </is>
      </c>
      <c r="D997" t="inlineStr">
        <is>
          <t>Spark | Creator A</t>
        </is>
      </c>
      <c r="E997" t="inlineStr">
        <is>
          <t>TT-Spark-CreatorA</t>
        </is>
      </c>
      <c r="F997" t="n">
        <v>341.62</v>
      </c>
      <c r="G997" s="20" t="n">
        <v>6783</v>
      </c>
      <c r="H997" s="21" t="n">
        <v>90</v>
      </c>
      <c r="I997" s="21" t="n">
        <v>2</v>
      </c>
      <c r="J997" s="21" t="n">
        <v>1188.61</v>
      </c>
    </row>
    <row r="998">
      <c r="A998" s="19" t="n">
        <v>46287</v>
      </c>
      <c r="B998" t="inlineStr">
        <is>
          <t>TikTok</t>
        </is>
      </c>
      <c r="C998" t="inlineStr">
        <is>
          <t>UGC | Problem-solution | v2</t>
        </is>
      </c>
      <c r="D998" t="inlineStr">
        <is>
          <t>Prospecting | Broad | EG</t>
        </is>
      </c>
      <c r="E998" t="inlineStr">
        <is>
          <t>TT-UGC-ProbSol</t>
        </is>
      </c>
      <c r="F998" t="n">
        <v>475.21</v>
      </c>
      <c r="G998" s="20" t="n">
        <v>9294</v>
      </c>
      <c r="H998" s="21" t="n">
        <v>123</v>
      </c>
      <c r="I998" s="21" t="n">
        <v>2</v>
      </c>
      <c r="J998" s="21" t="n">
        <v>1420.29</v>
      </c>
    </row>
    <row r="999">
      <c r="A999" s="19" t="n">
        <v>46287</v>
      </c>
      <c r="B999" t="inlineStr">
        <is>
          <t>TikTok</t>
        </is>
      </c>
      <c r="C999" t="inlineStr">
        <is>
          <t>UGC | Trend audio | v1</t>
        </is>
      </c>
      <c r="D999" t="inlineStr">
        <is>
          <t>Prospecting | Broad | EG</t>
        </is>
      </c>
      <c r="E999" t="inlineStr">
        <is>
          <t>TT-UGC-Trend</t>
        </is>
      </c>
      <c r="F999" t="n">
        <v>312.29</v>
      </c>
      <c r="G999" s="20" t="n">
        <v>6108</v>
      </c>
      <c r="H999" s="21" t="n">
        <v>81</v>
      </c>
      <c r="I999" s="21" t="n">
        <v>1</v>
      </c>
      <c r="J999" s="21" t="n">
        <v>720.1900000000001</v>
      </c>
    </row>
    <row r="1000">
      <c r="A1000" s="19" t="n">
        <v>46287</v>
      </c>
      <c r="B1000" t="inlineStr">
        <is>
          <t>TikTok</t>
        </is>
      </c>
      <c r="C1000" t="inlineStr">
        <is>
          <t>UGC | Trend audio | v2</t>
        </is>
      </c>
      <c r="D1000" t="inlineStr">
        <is>
          <t>Prospecting | Broad | EG</t>
        </is>
      </c>
      <c r="E1000" t="inlineStr">
        <is>
          <t>TT-UGC-Trend</t>
        </is>
      </c>
      <c r="F1000" t="n">
        <v>253.68</v>
      </c>
      <c r="G1000" s="20" t="n">
        <v>4962</v>
      </c>
      <c r="H1000" s="21" t="n">
        <v>66</v>
      </c>
      <c r="I1000" s="21" t="n">
        <v>1</v>
      </c>
      <c r="J1000" s="21" t="n">
        <v>720.22</v>
      </c>
    </row>
    <row r="1001">
      <c r="A1001" s="19" t="n">
        <v>46287</v>
      </c>
      <c r="B1001" t="inlineStr">
        <is>
          <t>TikTok</t>
        </is>
      </c>
      <c r="C1001" t="inlineStr">
        <is>
          <t>Spark ad | Creator A</t>
        </is>
      </c>
      <c r="D1001" t="inlineStr">
        <is>
          <t>Spark | Creator A</t>
        </is>
      </c>
      <c r="E1001" t="inlineStr">
        <is>
          <t>TT-Spark-CreatorA</t>
        </is>
      </c>
      <c r="F1001" t="n">
        <v>333.21</v>
      </c>
      <c r="G1001" s="20" t="n">
        <v>6517</v>
      </c>
      <c r="H1001" s="21" t="n">
        <v>87</v>
      </c>
      <c r="I1001" s="21" t="n">
        <v>2</v>
      </c>
      <c r="J1001" s="21" t="n">
        <v>1212.99</v>
      </c>
    </row>
    <row r="1002">
      <c r="A1002" s="19" t="n">
        <v>46288</v>
      </c>
      <c r="B1002" t="inlineStr">
        <is>
          <t>TikTok</t>
        </is>
      </c>
      <c r="C1002" t="inlineStr">
        <is>
          <t>UGC | Problem-solution | v2</t>
        </is>
      </c>
      <c r="D1002" t="inlineStr">
        <is>
          <t>Prospecting | Broad | EG</t>
        </is>
      </c>
      <c r="E1002" t="inlineStr">
        <is>
          <t>TT-UGC-ProbSol</t>
        </is>
      </c>
      <c r="F1002" t="n">
        <v>534.78</v>
      </c>
      <c r="G1002" s="20" t="n">
        <v>10909</v>
      </c>
      <c r="H1002" s="21" t="n">
        <v>128</v>
      </c>
      <c r="I1002" s="21" t="n">
        <v>2</v>
      </c>
      <c r="J1002" s="21" t="n">
        <v>1206.43</v>
      </c>
    </row>
    <row r="1003">
      <c r="A1003" s="19" t="n">
        <v>46288</v>
      </c>
      <c r="B1003" t="inlineStr">
        <is>
          <t>TikTok</t>
        </is>
      </c>
      <c r="C1003" t="inlineStr">
        <is>
          <t>UGC | Trend audio | v1</t>
        </is>
      </c>
      <c r="D1003" t="inlineStr">
        <is>
          <t>Prospecting | Broad | EG</t>
        </is>
      </c>
      <c r="E1003" t="inlineStr">
        <is>
          <t>TT-UGC-Trend</t>
        </is>
      </c>
      <c r="F1003" t="n">
        <v>330.19</v>
      </c>
      <c r="G1003" s="20" t="n">
        <v>6736</v>
      </c>
      <c r="H1003" s="21" t="n">
        <v>79</v>
      </c>
      <c r="I1003" s="21" t="n">
        <v>1</v>
      </c>
      <c r="J1003" s="21" t="n">
        <v>648.9299999999999</v>
      </c>
    </row>
    <row r="1004">
      <c r="A1004" s="19" t="n">
        <v>46288</v>
      </c>
      <c r="B1004" t="inlineStr">
        <is>
          <t>TikTok</t>
        </is>
      </c>
      <c r="C1004" t="inlineStr">
        <is>
          <t>UGC | Trend audio | v2</t>
        </is>
      </c>
      <c r="D1004" t="inlineStr">
        <is>
          <t>Prospecting | Broad | EG</t>
        </is>
      </c>
      <c r="E1004" t="inlineStr">
        <is>
          <t>TT-UGC-Trend</t>
        </is>
      </c>
      <c r="F1004" t="n">
        <v>291.01</v>
      </c>
      <c r="G1004" s="20" t="n">
        <v>5936</v>
      </c>
      <c r="H1004" s="21" t="n">
        <v>70</v>
      </c>
      <c r="I1004" s="21" t="n">
        <v>1</v>
      </c>
      <c r="J1004" s="21" t="n">
        <v>612.67</v>
      </c>
    </row>
    <row r="1005">
      <c r="A1005" s="19" t="n">
        <v>46288</v>
      </c>
      <c r="B1005" t="inlineStr">
        <is>
          <t>TikTok</t>
        </is>
      </c>
      <c r="C1005" t="inlineStr">
        <is>
          <t>Spark ad | Creator A</t>
        </is>
      </c>
      <c r="D1005" t="inlineStr">
        <is>
          <t>Spark | Creator A</t>
        </is>
      </c>
      <c r="E1005" t="inlineStr">
        <is>
          <t>TT-Spark-CreatorA</t>
        </is>
      </c>
      <c r="F1005" t="n">
        <v>367.79</v>
      </c>
      <c r="G1005" s="20" t="n">
        <v>7503</v>
      </c>
      <c r="H1005" s="21" t="n">
        <v>88</v>
      </c>
      <c r="I1005" s="21" t="n">
        <v>2</v>
      </c>
      <c r="J1005" s="21" t="n">
        <v>1136.64</v>
      </c>
    </row>
    <row r="1006">
      <c r="A1006" s="19" t="n">
        <v>46289</v>
      </c>
      <c r="B1006" t="inlineStr">
        <is>
          <t>TikTok</t>
        </is>
      </c>
      <c r="C1006" t="inlineStr">
        <is>
          <t>UGC | Problem-solution | v2</t>
        </is>
      </c>
      <c r="D1006" t="inlineStr">
        <is>
          <t>Prospecting | Broad | EG</t>
        </is>
      </c>
      <c r="E1006" t="inlineStr">
        <is>
          <t>TT-UGC-ProbSol</t>
        </is>
      </c>
      <c r="F1006" t="n">
        <v>481.77</v>
      </c>
      <c r="G1006" s="20" t="n">
        <v>9773</v>
      </c>
      <c r="H1006" s="21" t="n">
        <v>132</v>
      </c>
      <c r="I1006" s="21" t="n">
        <v>2</v>
      </c>
      <c r="J1006" s="21" t="n">
        <v>1118.78</v>
      </c>
    </row>
    <row r="1007">
      <c r="A1007" s="19" t="n">
        <v>46289</v>
      </c>
      <c r="B1007" t="inlineStr">
        <is>
          <t>TikTok</t>
        </is>
      </c>
      <c r="C1007" t="inlineStr">
        <is>
          <t>UGC | Trend audio | v1</t>
        </is>
      </c>
      <c r="D1007" t="inlineStr">
        <is>
          <t>Prospecting | Broad | EG</t>
        </is>
      </c>
      <c r="E1007" t="inlineStr">
        <is>
          <t>TT-UGC-Trend</t>
        </is>
      </c>
      <c r="F1007" t="n">
        <v>324.92</v>
      </c>
      <c r="G1007" s="20" t="n">
        <v>6591</v>
      </c>
      <c r="H1007" s="21" t="n">
        <v>89</v>
      </c>
      <c r="I1007" s="21" t="n">
        <v>1</v>
      </c>
      <c r="J1007" s="21" t="n">
        <v>599.21</v>
      </c>
    </row>
    <row r="1008">
      <c r="A1008" s="19" t="n">
        <v>46289</v>
      </c>
      <c r="B1008" t="inlineStr">
        <is>
          <t>TikTok</t>
        </is>
      </c>
      <c r="C1008" t="inlineStr">
        <is>
          <t>UGC | Trend audio | v2</t>
        </is>
      </c>
      <c r="D1008" t="inlineStr">
        <is>
          <t>Prospecting | Broad | EG</t>
        </is>
      </c>
      <c r="E1008" t="inlineStr">
        <is>
          <t>TT-UGC-Trend</t>
        </is>
      </c>
      <c r="F1008" t="n">
        <v>292.72</v>
      </c>
      <c r="G1008" s="20" t="n">
        <v>5938</v>
      </c>
      <c r="H1008" s="21" t="n">
        <v>80</v>
      </c>
      <c r="I1008" s="21" t="n">
        <v>1</v>
      </c>
      <c r="J1008" s="21" t="n">
        <v>537.85</v>
      </c>
    </row>
    <row r="1009">
      <c r="A1009" s="19" t="n">
        <v>46289</v>
      </c>
      <c r="B1009" t="inlineStr">
        <is>
          <t>TikTok</t>
        </is>
      </c>
      <c r="C1009" t="inlineStr">
        <is>
          <t>Spark ad | Creator A</t>
        </is>
      </c>
      <c r="D1009" t="inlineStr">
        <is>
          <t>Spark | Creator A</t>
        </is>
      </c>
      <c r="E1009" t="inlineStr">
        <is>
          <t>TT-Spark-CreatorA</t>
        </is>
      </c>
      <c r="F1009" t="n">
        <v>344.87</v>
      </c>
      <c r="G1009" s="20" t="n">
        <v>6996</v>
      </c>
      <c r="H1009" s="21" t="n">
        <v>95</v>
      </c>
      <c r="I1009" s="21" t="n">
        <v>2</v>
      </c>
      <c r="J1009" s="21" t="n">
        <v>1186.04</v>
      </c>
    </row>
    <row r="1010">
      <c r="A1010" s="19" t="n">
        <v>46290</v>
      </c>
      <c r="B1010" t="inlineStr">
        <is>
          <t>TikTok</t>
        </is>
      </c>
      <c r="C1010" t="inlineStr">
        <is>
          <t>UGC | Problem-solution | v2</t>
        </is>
      </c>
      <c r="D1010" t="inlineStr">
        <is>
          <t>Prospecting | Broad | EG</t>
        </is>
      </c>
      <c r="E1010" t="inlineStr">
        <is>
          <t>TT-UGC-ProbSol</t>
        </is>
      </c>
      <c r="F1010" t="n">
        <v>540.3200000000001</v>
      </c>
      <c r="G1010" s="20" t="n">
        <v>11117</v>
      </c>
      <c r="H1010" s="21" t="n">
        <v>119</v>
      </c>
      <c r="I1010" s="21" t="n">
        <v>2</v>
      </c>
      <c r="J1010" s="21" t="n">
        <v>1289.97</v>
      </c>
    </row>
    <row r="1011">
      <c r="A1011" s="19" t="n">
        <v>46290</v>
      </c>
      <c r="B1011" t="inlineStr">
        <is>
          <t>TikTok</t>
        </is>
      </c>
      <c r="C1011" t="inlineStr">
        <is>
          <t>UGC | Trend audio | v1</t>
        </is>
      </c>
      <c r="D1011" t="inlineStr">
        <is>
          <t>Prospecting | Broad | EG</t>
        </is>
      </c>
      <c r="E1011" t="inlineStr">
        <is>
          <t>TT-UGC-Trend</t>
        </is>
      </c>
      <c r="F1011" t="n">
        <v>330.41</v>
      </c>
      <c r="G1011" s="20" t="n">
        <v>6798</v>
      </c>
      <c r="H1011" s="21" t="n">
        <v>73</v>
      </c>
      <c r="I1011" s="21" t="n">
        <v>1</v>
      </c>
      <c r="J1011" s="21" t="n">
        <v>595.6</v>
      </c>
    </row>
    <row r="1012">
      <c r="A1012" s="19" t="n">
        <v>46290</v>
      </c>
      <c r="B1012" t="inlineStr">
        <is>
          <t>TikTok</t>
        </is>
      </c>
      <c r="C1012" t="inlineStr">
        <is>
          <t>UGC | Trend audio | v2</t>
        </is>
      </c>
      <c r="D1012" t="inlineStr">
        <is>
          <t>Prospecting | Broad | EG</t>
        </is>
      </c>
      <c r="E1012" t="inlineStr">
        <is>
          <t>TT-UGC-Trend</t>
        </is>
      </c>
      <c r="F1012" t="n">
        <v>238.14</v>
      </c>
      <c r="G1012" s="20" t="n">
        <v>4900</v>
      </c>
      <c r="H1012" s="21" t="n">
        <v>53</v>
      </c>
      <c r="I1012" s="21" t="n">
        <v>1</v>
      </c>
      <c r="J1012" s="21" t="n">
        <v>592.46</v>
      </c>
    </row>
    <row r="1013">
      <c r="A1013" s="19" t="n">
        <v>46290</v>
      </c>
      <c r="B1013" t="inlineStr">
        <is>
          <t>TikTok</t>
        </is>
      </c>
      <c r="C1013" t="inlineStr">
        <is>
          <t>Spark ad | Creator A</t>
        </is>
      </c>
      <c r="D1013" t="inlineStr">
        <is>
          <t>Spark | Creator A</t>
        </is>
      </c>
      <c r="E1013" t="inlineStr">
        <is>
          <t>TT-Spark-CreatorA</t>
        </is>
      </c>
      <c r="F1013" t="n">
        <v>361.92</v>
      </c>
      <c r="G1013" s="20" t="n">
        <v>7446</v>
      </c>
      <c r="H1013" s="21" t="n">
        <v>80</v>
      </c>
      <c r="I1013" s="21" t="n">
        <v>2</v>
      </c>
      <c r="J1013" s="21" t="n">
        <v>1186.84</v>
      </c>
    </row>
    <row r="1014">
      <c r="A1014" s="19" t="n">
        <v>46291</v>
      </c>
      <c r="B1014" t="inlineStr">
        <is>
          <t>TikTok</t>
        </is>
      </c>
      <c r="C1014" t="inlineStr">
        <is>
          <t>UGC | Problem-solution | v2</t>
        </is>
      </c>
      <c r="D1014" t="inlineStr">
        <is>
          <t>Prospecting | Broad | EG</t>
        </is>
      </c>
      <c r="E1014" t="inlineStr">
        <is>
          <t>TT-UGC-ProbSol</t>
        </is>
      </c>
      <c r="F1014" t="n">
        <v>549.91</v>
      </c>
      <c r="G1014" s="20" t="n">
        <v>10265</v>
      </c>
      <c r="H1014" s="21" t="n">
        <v>111</v>
      </c>
      <c r="I1014" s="21" t="n">
        <v>2</v>
      </c>
      <c r="J1014" s="21" t="n">
        <v>1182.86</v>
      </c>
    </row>
    <row r="1015">
      <c r="A1015" s="19" t="n">
        <v>46291</v>
      </c>
      <c r="B1015" t="inlineStr">
        <is>
          <t>TikTok</t>
        </is>
      </c>
      <c r="C1015" t="inlineStr">
        <is>
          <t>UGC | Trend audio | v1</t>
        </is>
      </c>
      <c r="D1015" t="inlineStr">
        <is>
          <t>Prospecting | Broad | EG</t>
        </is>
      </c>
      <c r="E1015" t="inlineStr">
        <is>
          <t>TT-UGC-Trend</t>
        </is>
      </c>
      <c r="F1015" t="n">
        <v>394.46</v>
      </c>
      <c r="G1015" s="20" t="n">
        <v>7363</v>
      </c>
      <c r="H1015" s="21" t="n">
        <v>80</v>
      </c>
      <c r="I1015" s="21" t="n">
        <v>1</v>
      </c>
      <c r="J1015" s="21" t="n">
        <v>650.53</v>
      </c>
    </row>
    <row r="1016">
      <c r="A1016" s="19" t="n">
        <v>46291</v>
      </c>
      <c r="B1016" t="inlineStr">
        <is>
          <t>TikTok</t>
        </is>
      </c>
      <c r="C1016" t="inlineStr">
        <is>
          <t>UGC | Trend audio | v2</t>
        </is>
      </c>
      <c r="D1016" t="inlineStr">
        <is>
          <t>Prospecting | Broad | EG</t>
        </is>
      </c>
      <c r="E1016" t="inlineStr">
        <is>
          <t>TT-UGC-Trend</t>
        </is>
      </c>
      <c r="F1016" t="n">
        <v>295.61</v>
      </c>
      <c r="G1016" s="20" t="n">
        <v>5518</v>
      </c>
      <c r="H1016" s="21" t="n">
        <v>60</v>
      </c>
      <c r="I1016" s="21" t="n">
        <v>1</v>
      </c>
      <c r="J1016" s="21" t="n">
        <v>688.36</v>
      </c>
    </row>
    <row r="1017">
      <c r="A1017" s="19" t="n">
        <v>46291</v>
      </c>
      <c r="B1017" t="inlineStr">
        <is>
          <t>TikTok</t>
        </is>
      </c>
      <c r="C1017" t="inlineStr">
        <is>
          <t>Spark ad | Creator A</t>
        </is>
      </c>
      <c r="D1017" t="inlineStr">
        <is>
          <t>Spark | Creator A</t>
        </is>
      </c>
      <c r="E1017" t="inlineStr">
        <is>
          <t>TT-Spark-CreatorA</t>
        </is>
      </c>
      <c r="F1017" t="n">
        <v>416.22</v>
      </c>
      <c r="G1017" s="20" t="n">
        <v>7769</v>
      </c>
      <c r="H1017" s="21" t="n">
        <v>84</v>
      </c>
      <c r="I1017" s="21" t="n">
        <v>1</v>
      </c>
      <c r="J1017" s="21" t="n">
        <v>658.73</v>
      </c>
    </row>
    <row r="1018">
      <c r="A1018" s="19" t="n">
        <v>46292</v>
      </c>
      <c r="B1018" t="inlineStr">
        <is>
          <t>TikTok</t>
        </is>
      </c>
      <c r="C1018" t="inlineStr">
        <is>
          <t>UGC | Problem-solution | v2</t>
        </is>
      </c>
      <c r="D1018" t="inlineStr">
        <is>
          <t>Prospecting | Broad | EG</t>
        </is>
      </c>
      <c r="E1018" t="inlineStr">
        <is>
          <t>TT-UGC-ProbSol</t>
        </is>
      </c>
      <c r="F1018" t="n">
        <v>505.01</v>
      </c>
      <c r="G1018" s="20" t="n">
        <v>10061</v>
      </c>
      <c r="H1018" s="21" t="n">
        <v>110</v>
      </c>
      <c r="I1018" s="21" t="n">
        <v>2</v>
      </c>
      <c r="J1018" s="21" t="n">
        <v>1204.95</v>
      </c>
    </row>
    <row r="1019">
      <c r="A1019" s="19" t="n">
        <v>46292</v>
      </c>
      <c r="B1019" t="inlineStr">
        <is>
          <t>TikTok</t>
        </is>
      </c>
      <c r="C1019" t="inlineStr">
        <is>
          <t>UGC | Trend audio | v1</t>
        </is>
      </c>
      <c r="D1019" t="inlineStr">
        <is>
          <t>Prospecting | Broad | EG</t>
        </is>
      </c>
      <c r="E1019" t="inlineStr">
        <is>
          <t>TT-UGC-Trend</t>
        </is>
      </c>
      <c r="F1019" t="n">
        <v>357.86</v>
      </c>
      <c r="G1019" s="20" t="n">
        <v>7130</v>
      </c>
      <c r="H1019" s="21" t="n">
        <v>78</v>
      </c>
      <c r="I1019" s="21" t="n">
        <v>1</v>
      </c>
      <c r="J1019" s="21" t="n">
        <v>613.0599999999999</v>
      </c>
    </row>
    <row r="1020">
      <c r="A1020" s="19" t="n">
        <v>46292</v>
      </c>
      <c r="B1020" t="inlineStr">
        <is>
          <t>TikTok</t>
        </is>
      </c>
      <c r="C1020" t="inlineStr">
        <is>
          <t>UGC | Trend audio | v2</t>
        </is>
      </c>
      <c r="D1020" t="inlineStr">
        <is>
          <t>Prospecting | Broad | EG</t>
        </is>
      </c>
      <c r="E1020" t="inlineStr">
        <is>
          <t>TT-UGC-Trend</t>
        </is>
      </c>
      <c r="F1020" t="n">
        <v>242.45</v>
      </c>
      <c r="G1020" s="20" t="n">
        <v>4830</v>
      </c>
      <c r="H1020" s="21" t="n">
        <v>53</v>
      </c>
      <c r="I1020" s="21" t="n">
        <v>0</v>
      </c>
      <c r="J1020" s="21" t="n">
        <v>0</v>
      </c>
    </row>
    <row r="1021">
      <c r="A1021" s="19" t="n">
        <v>46292</v>
      </c>
      <c r="B1021" t="inlineStr">
        <is>
          <t>TikTok</t>
        </is>
      </c>
      <c r="C1021" t="inlineStr">
        <is>
          <t>Spark ad | Creator A</t>
        </is>
      </c>
      <c r="D1021" t="inlineStr">
        <is>
          <t>Spark | Creator A</t>
        </is>
      </c>
      <c r="E1021" t="inlineStr">
        <is>
          <t>TT-Spark-CreatorA</t>
        </is>
      </c>
      <c r="F1021" t="n">
        <v>404.47</v>
      </c>
      <c r="G1021" s="20" t="n">
        <v>8058</v>
      </c>
      <c r="H1021" s="21" t="n">
        <v>88</v>
      </c>
      <c r="I1021" s="21" t="n">
        <v>2</v>
      </c>
      <c r="J1021" s="21" t="n">
        <v>1206.91</v>
      </c>
    </row>
    <row r="1022">
      <c r="A1022" s="19" t="n">
        <v>46293</v>
      </c>
      <c r="B1022" t="inlineStr">
        <is>
          <t>TikTok</t>
        </is>
      </c>
      <c r="C1022" t="inlineStr">
        <is>
          <t>UGC | Problem-solution | v2</t>
        </is>
      </c>
      <c r="D1022" t="inlineStr">
        <is>
          <t>Prospecting | Broad | EG</t>
        </is>
      </c>
      <c r="E1022" t="inlineStr">
        <is>
          <t>TT-UGC-ProbSol</t>
        </is>
      </c>
      <c r="F1022" t="n">
        <v>515.6900000000001</v>
      </c>
      <c r="G1022" s="20" t="n">
        <v>9517</v>
      </c>
      <c r="H1022" s="21" t="n">
        <v>114</v>
      </c>
      <c r="I1022" s="21" t="n">
        <v>2</v>
      </c>
      <c r="J1022" s="21" t="n">
        <v>1106.52</v>
      </c>
    </row>
    <row r="1023">
      <c r="A1023" s="19" t="n">
        <v>46293</v>
      </c>
      <c r="B1023" t="inlineStr">
        <is>
          <t>TikTok</t>
        </is>
      </c>
      <c r="C1023" t="inlineStr">
        <is>
          <t>UGC | Trend audio | v1</t>
        </is>
      </c>
      <c r="D1023" t="inlineStr">
        <is>
          <t>Prospecting | Broad | EG</t>
        </is>
      </c>
      <c r="E1023" t="inlineStr">
        <is>
          <t>TT-UGC-Trend</t>
        </is>
      </c>
      <c r="F1023" t="n">
        <v>349.27</v>
      </c>
      <c r="G1023" s="20" t="n">
        <v>6446</v>
      </c>
      <c r="H1023" s="21" t="n">
        <v>77</v>
      </c>
      <c r="I1023" s="21" t="n">
        <v>1</v>
      </c>
      <c r="J1023" s="21" t="n">
        <v>576.2</v>
      </c>
    </row>
    <row r="1024">
      <c r="A1024" s="19" t="n">
        <v>46293</v>
      </c>
      <c r="B1024" t="inlineStr">
        <is>
          <t>TikTok</t>
        </is>
      </c>
      <c r="C1024" t="inlineStr">
        <is>
          <t>UGC | Trend audio | v2</t>
        </is>
      </c>
      <c r="D1024" t="inlineStr">
        <is>
          <t>Prospecting | Broad | EG</t>
        </is>
      </c>
      <c r="E1024" t="inlineStr">
        <is>
          <t>TT-UGC-Trend</t>
        </is>
      </c>
      <c r="F1024" t="n">
        <v>269.83</v>
      </c>
      <c r="G1024" s="20" t="n">
        <v>4980</v>
      </c>
      <c r="H1024" s="21" t="n">
        <v>60</v>
      </c>
      <c r="I1024" s="21" t="n">
        <v>1</v>
      </c>
      <c r="J1024" s="21" t="n">
        <v>511.19</v>
      </c>
    </row>
    <row r="1025">
      <c r="A1025" s="19" t="n">
        <v>46293</v>
      </c>
      <c r="B1025" t="inlineStr">
        <is>
          <t>TikTok</t>
        </is>
      </c>
      <c r="C1025" t="inlineStr">
        <is>
          <t>Spark ad | Creator A</t>
        </is>
      </c>
      <c r="D1025" t="inlineStr">
        <is>
          <t>Spark | Creator A</t>
        </is>
      </c>
      <c r="E1025" t="inlineStr">
        <is>
          <t>TT-Spark-CreatorA</t>
        </is>
      </c>
      <c r="F1025" t="n">
        <v>422.17</v>
      </c>
      <c r="G1025" s="20" t="n">
        <v>7791</v>
      </c>
      <c r="H1025" s="21" t="n">
        <v>93</v>
      </c>
      <c r="I1025" s="21" t="n">
        <v>2</v>
      </c>
      <c r="J1025" s="21" t="n">
        <v>1099.6</v>
      </c>
    </row>
    <row r="1026">
      <c r="A1026" s="19" t="n">
        <v>46294</v>
      </c>
      <c r="B1026" t="inlineStr">
        <is>
          <t>TikTok</t>
        </is>
      </c>
      <c r="C1026" t="inlineStr">
        <is>
          <t>UGC | Problem-solution | v2</t>
        </is>
      </c>
      <c r="D1026" t="inlineStr">
        <is>
          <t>Prospecting | Broad | EG</t>
        </is>
      </c>
      <c r="E1026" t="inlineStr">
        <is>
          <t>TT-UGC-ProbSol</t>
        </is>
      </c>
      <c r="F1026" t="n">
        <v>464.96</v>
      </c>
      <c r="G1026" s="20" t="n">
        <v>9344</v>
      </c>
      <c r="H1026" s="21" t="n">
        <v>96</v>
      </c>
      <c r="I1026" s="21" t="n">
        <v>2</v>
      </c>
      <c r="J1026" s="21" t="n">
        <v>1162.86</v>
      </c>
    </row>
    <row r="1027">
      <c r="A1027" s="19" t="n">
        <v>46294</v>
      </c>
      <c r="B1027" t="inlineStr">
        <is>
          <t>TikTok</t>
        </is>
      </c>
      <c r="C1027" t="inlineStr">
        <is>
          <t>UGC | Trend audio | v1</t>
        </is>
      </c>
      <c r="D1027" t="inlineStr">
        <is>
          <t>Prospecting | Broad | EG</t>
        </is>
      </c>
      <c r="E1027" t="inlineStr">
        <is>
          <t>TT-UGC-Trend</t>
        </is>
      </c>
      <c r="F1027" t="n">
        <v>267.6</v>
      </c>
      <c r="G1027" s="20" t="n">
        <v>5378</v>
      </c>
      <c r="H1027" s="21" t="n">
        <v>55</v>
      </c>
      <c r="I1027" s="21" t="n">
        <v>1</v>
      </c>
      <c r="J1027" s="21" t="n">
        <v>666.8200000000001</v>
      </c>
    </row>
    <row r="1028">
      <c r="A1028" s="19" t="n">
        <v>46294</v>
      </c>
      <c r="B1028" t="inlineStr">
        <is>
          <t>TikTok</t>
        </is>
      </c>
      <c r="C1028" t="inlineStr">
        <is>
          <t>UGC | Trend audio | v2</t>
        </is>
      </c>
      <c r="D1028" t="inlineStr">
        <is>
          <t>Prospecting | Broad | EG</t>
        </is>
      </c>
      <c r="E1028" t="inlineStr">
        <is>
          <t>TT-UGC-Trend</t>
        </is>
      </c>
      <c r="F1028" t="n">
        <v>229.68</v>
      </c>
      <c r="G1028" s="20" t="n">
        <v>4616</v>
      </c>
      <c r="H1028" s="21" t="n">
        <v>47</v>
      </c>
      <c r="I1028" s="21" t="n">
        <v>1</v>
      </c>
      <c r="J1028" s="21" t="n">
        <v>582.73</v>
      </c>
    </row>
    <row r="1029">
      <c r="A1029" s="19" t="n">
        <v>46294</v>
      </c>
      <c r="B1029" t="inlineStr">
        <is>
          <t>TikTok</t>
        </is>
      </c>
      <c r="C1029" t="inlineStr">
        <is>
          <t>Spark ad | Creator A</t>
        </is>
      </c>
      <c r="D1029" t="inlineStr">
        <is>
          <t>Spark | Creator A</t>
        </is>
      </c>
      <c r="E1029" t="inlineStr">
        <is>
          <t>TT-Spark-CreatorA</t>
        </is>
      </c>
      <c r="F1029" t="n">
        <v>321.8</v>
      </c>
      <c r="G1029" s="20" t="n">
        <v>6467</v>
      </c>
      <c r="H1029" s="21" t="n">
        <v>66</v>
      </c>
      <c r="I1029" s="21" t="n">
        <v>1</v>
      </c>
      <c r="J1029" s="21" t="n">
        <v>640.64</v>
      </c>
    </row>
    <row r="1030">
      <c r="A1030" s="19" t="n">
        <v>46295</v>
      </c>
      <c r="B1030" t="inlineStr">
        <is>
          <t>TikTok</t>
        </is>
      </c>
      <c r="C1030" t="inlineStr">
        <is>
          <t>UGC | Problem-solution | v2</t>
        </is>
      </c>
      <c r="D1030" t="inlineStr">
        <is>
          <t>Prospecting | Broad | EG</t>
        </is>
      </c>
      <c r="E1030" t="inlineStr">
        <is>
          <t>TT-UGC-ProbSol</t>
        </is>
      </c>
      <c r="F1030" t="n">
        <v>435.07</v>
      </c>
      <c r="G1030" s="20" t="n">
        <v>8369</v>
      </c>
      <c r="H1030" s="21" t="n">
        <v>101</v>
      </c>
      <c r="I1030" s="21" t="n">
        <v>2</v>
      </c>
      <c r="J1030" s="21" t="n">
        <v>1089.18</v>
      </c>
    </row>
    <row r="1031">
      <c r="A1031" s="19" t="n">
        <v>46295</v>
      </c>
      <c r="B1031" t="inlineStr">
        <is>
          <t>TikTok</t>
        </is>
      </c>
      <c r="C1031" t="inlineStr">
        <is>
          <t>UGC | Trend audio | v1</t>
        </is>
      </c>
      <c r="D1031" t="inlineStr">
        <is>
          <t>Prospecting | Broad | EG</t>
        </is>
      </c>
      <c r="E1031" t="inlineStr">
        <is>
          <t>TT-UGC-Trend</t>
        </is>
      </c>
      <c r="F1031" t="n">
        <v>291.96</v>
      </c>
      <c r="G1031" s="20" t="n">
        <v>5616</v>
      </c>
      <c r="H1031" s="21" t="n">
        <v>68</v>
      </c>
      <c r="I1031" s="21" t="n">
        <v>1</v>
      </c>
      <c r="J1031" s="21" t="n">
        <v>583.49</v>
      </c>
    </row>
    <row r="1032">
      <c r="A1032" s="19" t="n">
        <v>46295</v>
      </c>
      <c r="B1032" t="inlineStr">
        <is>
          <t>TikTok</t>
        </is>
      </c>
      <c r="C1032" t="inlineStr">
        <is>
          <t>UGC | Trend audio | v2</t>
        </is>
      </c>
      <c r="D1032" t="inlineStr">
        <is>
          <t>Prospecting | Broad | EG</t>
        </is>
      </c>
      <c r="E1032" t="inlineStr">
        <is>
          <t>TT-UGC-Trend</t>
        </is>
      </c>
      <c r="F1032" t="n">
        <v>290.07</v>
      </c>
      <c r="G1032" s="20" t="n">
        <v>5580</v>
      </c>
      <c r="H1032" s="21" t="n">
        <v>68</v>
      </c>
      <c r="I1032" s="21" t="n">
        <v>1</v>
      </c>
      <c r="J1032" s="21" t="n">
        <v>589.7</v>
      </c>
    </row>
    <row r="1033">
      <c r="A1033" s="19" t="n">
        <v>46295</v>
      </c>
      <c r="B1033" t="inlineStr">
        <is>
          <t>TikTok</t>
        </is>
      </c>
      <c r="C1033" t="inlineStr">
        <is>
          <t>Spark ad | Creator A</t>
        </is>
      </c>
      <c r="D1033" t="inlineStr">
        <is>
          <t>Spark | Creator A</t>
        </is>
      </c>
      <c r="E1033" t="inlineStr">
        <is>
          <t>TT-Spark-CreatorA</t>
        </is>
      </c>
      <c r="F1033" t="n">
        <v>366.15</v>
      </c>
      <c r="G1033" s="20" t="n">
        <v>7043</v>
      </c>
      <c r="H1033" s="21" t="n">
        <v>85</v>
      </c>
      <c r="I1033" s="21" t="n">
        <v>2</v>
      </c>
      <c r="J1033" s="21" t="n">
        <v>1249.96</v>
      </c>
    </row>
    <row r="1034">
      <c r="A1034" s="19" t="n">
        <v>46296</v>
      </c>
      <c r="B1034" t="inlineStr">
        <is>
          <t>TikTok</t>
        </is>
      </c>
      <c r="C1034" t="inlineStr">
        <is>
          <t>UGC | Problem-solution | v2</t>
        </is>
      </c>
      <c r="D1034" t="inlineStr">
        <is>
          <t>Prospecting | Broad | EG</t>
        </is>
      </c>
      <c r="E1034" t="inlineStr">
        <is>
          <t>TT-UGC-ProbSol</t>
        </is>
      </c>
      <c r="F1034" t="n">
        <v>461.52</v>
      </c>
      <c r="G1034" s="20" t="n">
        <v>8437</v>
      </c>
      <c r="H1034" s="21" t="n">
        <v>101</v>
      </c>
      <c r="I1034" s="21" t="n">
        <v>2</v>
      </c>
      <c r="J1034" s="21" t="n">
        <v>1146.05</v>
      </c>
    </row>
    <row r="1035">
      <c r="A1035" s="19" t="n">
        <v>46296</v>
      </c>
      <c r="B1035" t="inlineStr">
        <is>
          <t>TikTok</t>
        </is>
      </c>
      <c r="C1035" t="inlineStr">
        <is>
          <t>UGC | Trend audio | v1</t>
        </is>
      </c>
      <c r="D1035" t="inlineStr">
        <is>
          <t>Prospecting | Broad | EG</t>
        </is>
      </c>
      <c r="E1035" t="inlineStr">
        <is>
          <t>TT-UGC-Trend</t>
        </is>
      </c>
      <c r="F1035" t="n">
        <v>332.1</v>
      </c>
      <c r="G1035" s="20" t="n">
        <v>6071</v>
      </c>
      <c r="H1035" s="21" t="n">
        <v>72</v>
      </c>
      <c r="I1035" s="21" t="n">
        <v>1</v>
      </c>
      <c r="J1035" s="21" t="n">
        <v>595.49</v>
      </c>
    </row>
    <row r="1036">
      <c r="A1036" s="19" t="n">
        <v>46296</v>
      </c>
      <c r="B1036" t="inlineStr">
        <is>
          <t>TikTok</t>
        </is>
      </c>
      <c r="C1036" t="inlineStr">
        <is>
          <t>UGC | Trend audio | v2</t>
        </is>
      </c>
      <c r="D1036" t="inlineStr">
        <is>
          <t>Prospecting | Broad | EG</t>
        </is>
      </c>
      <c r="E1036" t="inlineStr">
        <is>
          <t>TT-UGC-Trend</t>
        </is>
      </c>
      <c r="F1036" t="n">
        <v>320.3</v>
      </c>
      <c r="G1036" s="20" t="n">
        <v>5855</v>
      </c>
      <c r="H1036" s="21" t="n">
        <v>70</v>
      </c>
      <c r="I1036" s="21" t="n">
        <v>1</v>
      </c>
      <c r="J1036" s="21" t="n">
        <v>597.39</v>
      </c>
    </row>
    <row r="1037">
      <c r="A1037" s="19" t="n">
        <v>46296</v>
      </c>
      <c r="B1037" t="inlineStr">
        <is>
          <t>TikTok</t>
        </is>
      </c>
      <c r="C1037" t="inlineStr">
        <is>
          <t>Spark ad | Creator A</t>
        </is>
      </c>
      <c r="D1037" t="inlineStr">
        <is>
          <t>Spark | Creator A</t>
        </is>
      </c>
      <c r="E1037" t="inlineStr">
        <is>
          <t>TT-Spark-CreatorA</t>
        </is>
      </c>
      <c r="F1037" t="n">
        <v>430.95</v>
      </c>
      <c r="G1037" s="20" t="n">
        <v>7878</v>
      </c>
      <c r="H1037" s="21" t="n">
        <v>94</v>
      </c>
      <c r="I1037" s="21" t="n">
        <v>2</v>
      </c>
      <c r="J1037" s="21" t="n">
        <v>1274.29</v>
      </c>
    </row>
    <row r="1038">
      <c r="A1038" s="19" t="n">
        <v>46297</v>
      </c>
      <c r="B1038" t="inlineStr">
        <is>
          <t>TikTok</t>
        </is>
      </c>
      <c r="C1038" t="inlineStr">
        <is>
          <t>UGC | Problem-solution | v2</t>
        </is>
      </c>
      <c r="D1038" t="inlineStr">
        <is>
          <t>Prospecting | Broad | EG</t>
        </is>
      </c>
      <c r="E1038" t="inlineStr">
        <is>
          <t>TT-UGC-ProbSol</t>
        </is>
      </c>
      <c r="F1038" t="n">
        <v>574.73</v>
      </c>
      <c r="G1038" s="20" t="n">
        <v>10842</v>
      </c>
      <c r="H1038" s="21" t="n">
        <v>134</v>
      </c>
      <c r="I1038" s="21" t="n">
        <v>3</v>
      </c>
      <c r="J1038" s="21" t="n">
        <v>1847.6</v>
      </c>
    </row>
    <row r="1039">
      <c r="A1039" s="19" t="n">
        <v>46297</v>
      </c>
      <c r="B1039" t="inlineStr">
        <is>
          <t>TikTok</t>
        </is>
      </c>
      <c r="C1039" t="inlineStr">
        <is>
          <t>UGC | Trend audio | v1</t>
        </is>
      </c>
      <c r="D1039" t="inlineStr">
        <is>
          <t>Prospecting | Broad | EG</t>
        </is>
      </c>
      <c r="E1039" t="inlineStr">
        <is>
          <t>TT-UGC-Trend</t>
        </is>
      </c>
      <c r="F1039" t="n">
        <v>424.85</v>
      </c>
      <c r="G1039" s="20" t="n">
        <v>8014</v>
      </c>
      <c r="H1039" s="21" t="n">
        <v>99</v>
      </c>
      <c r="I1039" s="21" t="n">
        <v>1</v>
      </c>
      <c r="J1039" s="21" t="n">
        <v>616.4</v>
      </c>
    </row>
    <row r="1040">
      <c r="A1040" s="19" t="n">
        <v>46297</v>
      </c>
      <c r="B1040" t="inlineStr">
        <is>
          <t>TikTok</t>
        </is>
      </c>
      <c r="C1040" t="inlineStr">
        <is>
          <t>UGC | Trend audio | v2</t>
        </is>
      </c>
      <c r="D1040" t="inlineStr">
        <is>
          <t>Prospecting | Broad | EG</t>
        </is>
      </c>
      <c r="E1040" t="inlineStr">
        <is>
          <t>TT-UGC-Trend</t>
        </is>
      </c>
      <c r="F1040" t="n">
        <v>327.85</v>
      </c>
      <c r="G1040" s="20" t="n">
        <v>6185</v>
      </c>
      <c r="H1040" s="21" t="n">
        <v>77</v>
      </c>
      <c r="I1040" s="21" t="n">
        <v>1</v>
      </c>
      <c r="J1040" s="21" t="n">
        <v>618.33</v>
      </c>
    </row>
    <row r="1041">
      <c r="A1041" s="19" t="n">
        <v>46297</v>
      </c>
      <c r="B1041" t="inlineStr">
        <is>
          <t>TikTok</t>
        </is>
      </c>
      <c r="C1041" t="inlineStr">
        <is>
          <t>Spark ad | Creator A</t>
        </is>
      </c>
      <c r="D1041" t="inlineStr">
        <is>
          <t>Spark | Creator A</t>
        </is>
      </c>
      <c r="E1041" t="inlineStr">
        <is>
          <t>TT-Spark-CreatorA</t>
        </is>
      </c>
      <c r="F1041" t="n">
        <v>429.48</v>
      </c>
      <c r="G1041" s="20" t="n">
        <v>8102</v>
      </c>
      <c r="H1041" s="21" t="n">
        <v>100</v>
      </c>
      <c r="I1041" s="21" t="n">
        <v>3</v>
      </c>
      <c r="J1041" s="21" t="n">
        <v>1754.66</v>
      </c>
    </row>
    <row r="1042">
      <c r="A1042" s="19" t="n">
        <v>46298</v>
      </c>
      <c r="B1042" t="inlineStr">
        <is>
          <t>TikTok</t>
        </is>
      </c>
      <c r="C1042" t="inlineStr">
        <is>
          <t>UGC | Problem-solution | v2</t>
        </is>
      </c>
      <c r="D1042" t="inlineStr">
        <is>
          <t>Prospecting | Broad | EG</t>
        </is>
      </c>
      <c r="E1042" t="inlineStr">
        <is>
          <t>TT-UGC-ProbSol</t>
        </is>
      </c>
      <c r="F1042" t="n">
        <v>672.6900000000001</v>
      </c>
      <c r="G1042" s="20" t="n">
        <v>12768</v>
      </c>
      <c r="H1042" s="21" t="n">
        <v>158</v>
      </c>
      <c r="I1042" s="21" t="n">
        <v>3</v>
      </c>
      <c r="J1042" s="21" t="n">
        <v>1947.4</v>
      </c>
    </row>
    <row r="1043">
      <c r="A1043" s="19" t="n">
        <v>46298</v>
      </c>
      <c r="B1043" t="inlineStr">
        <is>
          <t>TikTok</t>
        </is>
      </c>
      <c r="C1043" t="inlineStr">
        <is>
          <t>UGC | Trend audio | v1</t>
        </is>
      </c>
      <c r="D1043" t="inlineStr">
        <is>
          <t>Prospecting | Broad | EG</t>
        </is>
      </c>
      <c r="E1043" t="inlineStr">
        <is>
          <t>TT-UGC-Trend</t>
        </is>
      </c>
      <c r="F1043" t="n">
        <v>455.88</v>
      </c>
      <c r="G1043" s="20" t="n">
        <v>8653</v>
      </c>
      <c r="H1043" s="21" t="n">
        <v>107</v>
      </c>
      <c r="I1043" s="21" t="n">
        <v>1</v>
      </c>
      <c r="J1043" s="21" t="n">
        <v>544.41</v>
      </c>
    </row>
    <row r="1044">
      <c r="A1044" s="19" t="n">
        <v>46298</v>
      </c>
      <c r="B1044" t="inlineStr">
        <is>
          <t>TikTok</t>
        </is>
      </c>
      <c r="C1044" t="inlineStr">
        <is>
          <t>UGC | Trend audio | v2</t>
        </is>
      </c>
      <c r="D1044" t="inlineStr">
        <is>
          <t>Prospecting | Broad | EG</t>
        </is>
      </c>
      <c r="E1044" t="inlineStr">
        <is>
          <t>TT-UGC-Trend</t>
        </is>
      </c>
      <c r="F1044" t="n">
        <v>375.21</v>
      </c>
      <c r="G1044" s="20" t="n">
        <v>7122</v>
      </c>
      <c r="H1044" s="21" t="n">
        <v>88</v>
      </c>
      <c r="I1044" s="21" t="n">
        <v>1</v>
      </c>
      <c r="J1044" s="21" t="n">
        <v>636.4299999999999</v>
      </c>
    </row>
    <row r="1045">
      <c r="A1045" s="19" t="n">
        <v>46298</v>
      </c>
      <c r="B1045" t="inlineStr">
        <is>
          <t>TikTok</t>
        </is>
      </c>
      <c r="C1045" t="inlineStr">
        <is>
          <t>Spark ad | Creator A</t>
        </is>
      </c>
      <c r="D1045" t="inlineStr">
        <is>
          <t>Spark | Creator A</t>
        </is>
      </c>
      <c r="E1045" t="inlineStr">
        <is>
          <t>TT-Spark-CreatorA</t>
        </is>
      </c>
      <c r="F1045" t="n">
        <v>423.4</v>
      </c>
      <c r="G1045" s="20" t="n">
        <v>8036</v>
      </c>
      <c r="H1045" s="21" t="n">
        <v>100</v>
      </c>
      <c r="I1045" s="21" t="n">
        <v>2</v>
      </c>
      <c r="J1045" s="21" t="n">
        <v>1229.38</v>
      </c>
    </row>
    <row r="1046">
      <c r="A1046" s="19" t="n">
        <v>46299</v>
      </c>
      <c r="B1046" t="inlineStr">
        <is>
          <t>TikTok</t>
        </is>
      </c>
      <c r="C1046" t="inlineStr">
        <is>
          <t>UGC | Problem-solution | v2</t>
        </is>
      </c>
      <c r="D1046" t="inlineStr">
        <is>
          <t>Prospecting | Broad | EG</t>
        </is>
      </c>
      <c r="E1046" t="inlineStr">
        <is>
          <t>TT-UGC-ProbSol</t>
        </is>
      </c>
      <c r="F1046" t="n">
        <v>565.51</v>
      </c>
      <c r="G1046" s="20" t="n">
        <v>10503</v>
      </c>
      <c r="H1046" s="21" t="n">
        <v>119</v>
      </c>
      <c r="I1046" s="21" t="n">
        <v>2</v>
      </c>
      <c r="J1046" s="21" t="n">
        <v>1174.6</v>
      </c>
    </row>
    <row r="1047">
      <c r="A1047" s="19" t="n">
        <v>46299</v>
      </c>
      <c r="B1047" t="inlineStr">
        <is>
          <t>TikTok</t>
        </is>
      </c>
      <c r="C1047" t="inlineStr">
        <is>
          <t>UGC | Trend audio | v1</t>
        </is>
      </c>
      <c r="D1047" t="inlineStr">
        <is>
          <t>Prospecting | Broad | EG</t>
        </is>
      </c>
      <c r="E1047" t="inlineStr">
        <is>
          <t>TT-UGC-Trend</t>
        </is>
      </c>
      <c r="F1047" t="n">
        <v>446.14</v>
      </c>
      <c r="G1047" s="20" t="n">
        <v>8286</v>
      </c>
      <c r="H1047" s="21" t="n">
        <v>94</v>
      </c>
      <c r="I1047" s="21" t="n">
        <v>1</v>
      </c>
      <c r="J1047" s="21" t="n">
        <v>597.2</v>
      </c>
    </row>
    <row r="1048">
      <c r="A1048" s="19" t="n">
        <v>46299</v>
      </c>
      <c r="B1048" t="inlineStr">
        <is>
          <t>TikTok</t>
        </is>
      </c>
      <c r="C1048" t="inlineStr">
        <is>
          <t>UGC | Trend audio | v2</t>
        </is>
      </c>
      <c r="D1048" t="inlineStr">
        <is>
          <t>Prospecting | Broad | EG</t>
        </is>
      </c>
      <c r="E1048" t="inlineStr">
        <is>
          <t>TT-UGC-Trend</t>
        </is>
      </c>
      <c r="F1048" t="n">
        <v>311.28</v>
      </c>
      <c r="G1048" s="20" t="n">
        <v>5781</v>
      </c>
      <c r="H1048" s="21" t="n">
        <v>66</v>
      </c>
      <c r="I1048" s="21" t="n">
        <v>1</v>
      </c>
      <c r="J1048" s="21" t="n">
        <v>567.7</v>
      </c>
    </row>
    <row r="1049">
      <c r="A1049" s="19" t="n">
        <v>46299</v>
      </c>
      <c r="B1049" t="inlineStr">
        <is>
          <t>TikTok</t>
        </is>
      </c>
      <c r="C1049" t="inlineStr">
        <is>
          <t>Spark ad | Creator A</t>
        </is>
      </c>
      <c r="D1049" t="inlineStr">
        <is>
          <t>Spark | Creator A</t>
        </is>
      </c>
      <c r="E1049" t="inlineStr">
        <is>
          <t>TT-Spark-CreatorA</t>
        </is>
      </c>
      <c r="F1049" t="n">
        <v>424.56</v>
      </c>
      <c r="G1049" s="20" t="n">
        <v>7885</v>
      </c>
      <c r="H1049" s="21" t="n">
        <v>90</v>
      </c>
      <c r="I1049" s="21" t="n">
        <v>2</v>
      </c>
      <c r="J1049" s="21" t="n">
        <v>1084.76</v>
      </c>
    </row>
    <row r="1050">
      <c r="A1050" s="19" t="n">
        <v>46300</v>
      </c>
      <c r="B1050" t="inlineStr">
        <is>
          <t>TikTok</t>
        </is>
      </c>
      <c r="C1050" t="inlineStr">
        <is>
          <t>UGC | Problem-solution | v2</t>
        </is>
      </c>
      <c r="D1050" t="inlineStr">
        <is>
          <t>Prospecting | Broad | EG</t>
        </is>
      </c>
      <c r="E1050" t="inlineStr">
        <is>
          <t>TT-UGC-ProbSol</t>
        </is>
      </c>
      <c r="F1050" t="n">
        <v>494.58</v>
      </c>
      <c r="G1050" s="20" t="n">
        <v>9259</v>
      </c>
      <c r="H1050" s="21" t="n">
        <v>101</v>
      </c>
      <c r="I1050" s="21" t="n">
        <v>2</v>
      </c>
      <c r="J1050" s="21" t="n">
        <v>1380.93</v>
      </c>
    </row>
    <row r="1051">
      <c r="A1051" s="19" t="n">
        <v>46300</v>
      </c>
      <c r="B1051" t="inlineStr">
        <is>
          <t>TikTok</t>
        </is>
      </c>
      <c r="C1051" t="inlineStr">
        <is>
          <t>UGC | Trend audio | v1</t>
        </is>
      </c>
      <c r="D1051" t="inlineStr">
        <is>
          <t>Prospecting | Broad | EG</t>
        </is>
      </c>
      <c r="E1051" t="inlineStr">
        <is>
          <t>TT-UGC-Trend</t>
        </is>
      </c>
      <c r="F1051" t="n">
        <v>342.99</v>
      </c>
      <c r="G1051" s="20" t="n">
        <v>6421</v>
      </c>
      <c r="H1051" s="21" t="n">
        <v>70</v>
      </c>
      <c r="I1051" s="21" t="n">
        <v>1</v>
      </c>
      <c r="J1051" s="21" t="n">
        <v>713.71</v>
      </c>
    </row>
    <row r="1052">
      <c r="A1052" s="19" t="n">
        <v>46300</v>
      </c>
      <c r="B1052" t="inlineStr">
        <is>
          <t>TikTok</t>
        </is>
      </c>
      <c r="C1052" t="inlineStr">
        <is>
          <t>UGC | Trend audio | v2</t>
        </is>
      </c>
      <c r="D1052" t="inlineStr">
        <is>
          <t>Prospecting | Broad | EG</t>
        </is>
      </c>
      <c r="E1052" t="inlineStr">
        <is>
          <t>TT-UGC-Trend</t>
        </is>
      </c>
      <c r="F1052" t="n">
        <v>288.26</v>
      </c>
      <c r="G1052" s="20" t="n">
        <v>5397</v>
      </c>
      <c r="H1052" s="21" t="n">
        <v>59</v>
      </c>
      <c r="I1052" s="21" t="n">
        <v>1</v>
      </c>
      <c r="J1052" s="21" t="n">
        <v>689.59</v>
      </c>
    </row>
    <row r="1053">
      <c r="A1053" s="19" t="n">
        <v>46300</v>
      </c>
      <c r="B1053" t="inlineStr">
        <is>
          <t>TikTok</t>
        </is>
      </c>
      <c r="C1053" t="inlineStr">
        <is>
          <t>Spark ad | Creator A</t>
        </is>
      </c>
      <c r="D1053" t="inlineStr">
        <is>
          <t>Spark | Creator A</t>
        </is>
      </c>
      <c r="E1053" t="inlineStr">
        <is>
          <t>TT-Spark-CreatorA</t>
        </is>
      </c>
      <c r="F1053" t="n">
        <v>361.99</v>
      </c>
      <c r="G1053" s="20" t="n">
        <v>6777</v>
      </c>
      <c r="H1053" s="21" t="n">
        <v>74</v>
      </c>
      <c r="I1053" s="21" t="n">
        <v>1</v>
      </c>
      <c r="J1053" s="21" t="n">
        <v>680.77</v>
      </c>
    </row>
    <row r="1054">
      <c r="A1054" s="19" t="n">
        <v>46301</v>
      </c>
      <c r="B1054" t="inlineStr">
        <is>
          <t>TikTok</t>
        </is>
      </c>
      <c r="C1054" t="inlineStr">
        <is>
          <t>UGC | Problem-solution | v2</t>
        </is>
      </c>
      <c r="D1054" t="inlineStr">
        <is>
          <t>Prospecting | Broad | EG</t>
        </is>
      </c>
      <c r="E1054" t="inlineStr">
        <is>
          <t>TT-UGC-ProbSol</t>
        </is>
      </c>
      <c r="F1054" t="n">
        <v>452.35</v>
      </c>
      <c r="G1054" s="20" t="n">
        <v>8271</v>
      </c>
      <c r="H1054" s="21" t="n">
        <v>102</v>
      </c>
      <c r="I1054" s="21" t="n">
        <v>2</v>
      </c>
      <c r="J1054" s="21" t="n">
        <v>1310.64</v>
      </c>
    </row>
    <row r="1055">
      <c r="A1055" s="19" t="n">
        <v>46301</v>
      </c>
      <c r="B1055" t="inlineStr">
        <is>
          <t>TikTok</t>
        </is>
      </c>
      <c r="C1055" t="inlineStr">
        <is>
          <t>UGC | Trend audio | v1</t>
        </is>
      </c>
      <c r="D1055" t="inlineStr">
        <is>
          <t>Prospecting | Broad | EG</t>
        </is>
      </c>
      <c r="E1055" t="inlineStr">
        <is>
          <t>TT-UGC-Trend</t>
        </is>
      </c>
      <c r="F1055" t="n">
        <v>318.57</v>
      </c>
      <c r="G1055" s="20" t="n">
        <v>5825</v>
      </c>
      <c r="H1055" s="21" t="n">
        <v>71</v>
      </c>
      <c r="I1055" s="21" t="n">
        <v>1</v>
      </c>
      <c r="J1055" s="21" t="n">
        <v>672.08</v>
      </c>
    </row>
    <row r="1056">
      <c r="A1056" s="19" t="n">
        <v>46301</v>
      </c>
      <c r="B1056" t="inlineStr">
        <is>
          <t>TikTok</t>
        </is>
      </c>
      <c r="C1056" t="inlineStr">
        <is>
          <t>UGC | Trend audio | v2</t>
        </is>
      </c>
      <c r="D1056" t="inlineStr">
        <is>
          <t>Prospecting | Broad | EG</t>
        </is>
      </c>
      <c r="E1056" t="inlineStr">
        <is>
          <t>TT-UGC-Trend</t>
        </is>
      </c>
      <c r="F1056" t="n">
        <v>224.23</v>
      </c>
      <c r="G1056" s="20" t="n">
        <v>4100</v>
      </c>
      <c r="H1056" s="21" t="n">
        <v>50</v>
      </c>
      <c r="I1056" s="21" t="n">
        <v>1</v>
      </c>
      <c r="J1056" s="21" t="n">
        <v>649.83</v>
      </c>
    </row>
    <row r="1057">
      <c r="A1057" s="19" t="n">
        <v>46301</v>
      </c>
      <c r="B1057" t="inlineStr">
        <is>
          <t>TikTok</t>
        </is>
      </c>
      <c r="C1057" t="inlineStr">
        <is>
          <t>Spark ad | Creator A</t>
        </is>
      </c>
      <c r="D1057" t="inlineStr">
        <is>
          <t>Spark | Creator A</t>
        </is>
      </c>
      <c r="E1057" t="inlineStr">
        <is>
          <t>TT-Spark-CreatorA</t>
        </is>
      </c>
      <c r="F1057" t="n">
        <v>314.99</v>
      </c>
      <c r="G1057" s="20" t="n">
        <v>5759</v>
      </c>
      <c r="H1057" s="21" t="n">
        <v>71</v>
      </c>
      <c r="I1057" s="21" t="n">
        <v>1</v>
      </c>
      <c r="J1057" s="21" t="n">
        <v>710.05</v>
      </c>
    </row>
    <row r="1058">
      <c r="A1058" s="19" t="n">
        <v>46302</v>
      </c>
      <c r="B1058" t="inlineStr">
        <is>
          <t>TikTok</t>
        </is>
      </c>
      <c r="C1058" t="inlineStr">
        <is>
          <t>UGC | Problem-solution | v2</t>
        </is>
      </c>
      <c r="D1058" t="inlineStr">
        <is>
          <t>Prospecting | Broad | EG</t>
        </is>
      </c>
      <c r="E1058" t="inlineStr">
        <is>
          <t>TT-UGC-ProbSol</t>
        </is>
      </c>
      <c r="F1058" t="n">
        <v>474.04</v>
      </c>
      <c r="G1058" s="20" t="n">
        <v>8825</v>
      </c>
      <c r="H1058" s="21" t="n">
        <v>95</v>
      </c>
      <c r="I1058" s="21" t="n">
        <v>2</v>
      </c>
      <c r="J1058" s="21" t="n">
        <v>1099.06</v>
      </c>
    </row>
    <row r="1059">
      <c r="A1059" s="19" t="n">
        <v>46302</v>
      </c>
      <c r="B1059" t="inlineStr">
        <is>
          <t>TikTok</t>
        </is>
      </c>
      <c r="C1059" t="inlineStr">
        <is>
          <t>UGC | Trend audio | v1</t>
        </is>
      </c>
      <c r="D1059" t="inlineStr">
        <is>
          <t>Prospecting | Broad | EG</t>
        </is>
      </c>
      <c r="E1059" t="inlineStr">
        <is>
          <t>TT-UGC-Trend</t>
        </is>
      </c>
      <c r="F1059" t="n">
        <v>280.74</v>
      </c>
      <c r="G1059" s="20" t="n">
        <v>5226</v>
      </c>
      <c r="H1059" s="21" t="n">
        <v>56</v>
      </c>
      <c r="I1059" s="21" t="n">
        <v>1</v>
      </c>
      <c r="J1059" s="21" t="n">
        <v>548.99</v>
      </c>
    </row>
    <row r="1060">
      <c r="A1060" s="19" t="n">
        <v>46302</v>
      </c>
      <c r="B1060" t="inlineStr">
        <is>
          <t>TikTok</t>
        </is>
      </c>
      <c r="C1060" t="inlineStr">
        <is>
          <t>UGC | Trend audio | v2</t>
        </is>
      </c>
      <c r="D1060" t="inlineStr">
        <is>
          <t>Prospecting | Broad | EG</t>
        </is>
      </c>
      <c r="E1060" t="inlineStr">
        <is>
          <t>TT-UGC-Trend</t>
        </is>
      </c>
      <c r="F1060" t="n">
        <v>280.56</v>
      </c>
      <c r="G1060" s="20" t="n">
        <v>5223</v>
      </c>
      <c r="H1060" s="21" t="n">
        <v>56</v>
      </c>
      <c r="I1060" s="21" t="n">
        <v>1</v>
      </c>
      <c r="J1060" s="21" t="n">
        <v>561.39</v>
      </c>
    </row>
    <row r="1061">
      <c r="A1061" s="19" t="n">
        <v>46302</v>
      </c>
      <c r="B1061" t="inlineStr">
        <is>
          <t>TikTok</t>
        </is>
      </c>
      <c r="C1061" t="inlineStr">
        <is>
          <t>Spark ad | Creator A</t>
        </is>
      </c>
      <c r="D1061" t="inlineStr">
        <is>
          <t>Spark | Creator A</t>
        </is>
      </c>
      <c r="E1061" t="inlineStr">
        <is>
          <t>TT-Spark-CreatorA</t>
        </is>
      </c>
      <c r="F1061" t="n">
        <v>337.13</v>
      </c>
      <c r="G1061" s="20" t="n">
        <v>6276</v>
      </c>
      <c r="H1061" s="21" t="n">
        <v>68</v>
      </c>
      <c r="I1061" s="21" t="n">
        <v>1</v>
      </c>
      <c r="J1061" s="21" t="n">
        <v>483.8</v>
      </c>
    </row>
    <row r="1062">
      <c r="A1062" s="19" t="n">
        <v>46303</v>
      </c>
      <c r="B1062" t="inlineStr">
        <is>
          <t>TikTok</t>
        </is>
      </c>
      <c r="C1062" t="inlineStr">
        <is>
          <t>UGC | Problem-solution | v2</t>
        </is>
      </c>
      <c r="D1062" t="inlineStr">
        <is>
          <t>Prospecting | Broad | EG</t>
        </is>
      </c>
      <c r="E1062" t="inlineStr">
        <is>
          <t>TT-UGC-ProbSol</t>
        </is>
      </c>
      <c r="F1062" t="n">
        <v>508.06</v>
      </c>
      <c r="G1062" s="20" t="n">
        <v>9300</v>
      </c>
      <c r="H1062" s="21" t="n">
        <v>116</v>
      </c>
      <c r="I1062" s="21" t="n">
        <v>2</v>
      </c>
      <c r="J1062" s="21" t="n">
        <v>1334.91</v>
      </c>
    </row>
    <row r="1063">
      <c r="A1063" s="19" t="n">
        <v>46303</v>
      </c>
      <c r="B1063" t="inlineStr">
        <is>
          <t>TikTok</t>
        </is>
      </c>
      <c r="C1063" t="inlineStr">
        <is>
          <t>UGC | Trend audio | v1</t>
        </is>
      </c>
      <c r="D1063" t="inlineStr">
        <is>
          <t>Prospecting | Broad | EG</t>
        </is>
      </c>
      <c r="E1063" t="inlineStr">
        <is>
          <t>TT-UGC-Trend</t>
        </is>
      </c>
      <c r="F1063" t="n">
        <v>403.97</v>
      </c>
      <c r="G1063" s="20" t="n">
        <v>7394</v>
      </c>
      <c r="H1063" s="21" t="n">
        <v>93</v>
      </c>
      <c r="I1063" s="21" t="n">
        <v>1</v>
      </c>
      <c r="J1063" s="21" t="n">
        <v>658.55</v>
      </c>
    </row>
    <row r="1064">
      <c r="A1064" s="19" t="n">
        <v>46303</v>
      </c>
      <c r="B1064" t="inlineStr">
        <is>
          <t>TikTok</t>
        </is>
      </c>
      <c r="C1064" t="inlineStr">
        <is>
          <t>UGC | Trend audio | v2</t>
        </is>
      </c>
      <c r="D1064" t="inlineStr">
        <is>
          <t>Prospecting | Broad | EG</t>
        </is>
      </c>
      <c r="E1064" t="inlineStr">
        <is>
          <t>TT-UGC-Trend</t>
        </is>
      </c>
      <c r="F1064" t="n">
        <v>238.68</v>
      </c>
      <c r="G1064" s="20" t="n">
        <v>4369</v>
      </c>
      <c r="H1064" s="21" t="n">
        <v>55</v>
      </c>
      <c r="I1064" s="21" t="n">
        <v>1</v>
      </c>
      <c r="J1064" s="21" t="n">
        <v>714.29</v>
      </c>
    </row>
    <row r="1065">
      <c r="A1065" s="19" t="n">
        <v>46303</v>
      </c>
      <c r="B1065" t="inlineStr">
        <is>
          <t>TikTok</t>
        </is>
      </c>
      <c r="C1065" t="inlineStr">
        <is>
          <t>Spark ad | Creator A</t>
        </is>
      </c>
      <c r="D1065" t="inlineStr">
        <is>
          <t>Spark | Creator A</t>
        </is>
      </c>
      <c r="E1065" t="inlineStr">
        <is>
          <t>TT-Spark-CreatorA</t>
        </is>
      </c>
      <c r="F1065" t="n">
        <v>345.38</v>
      </c>
      <c r="G1065" s="20" t="n">
        <v>6322</v>
      </c>
      <c r="H1065" s="21" t="n">
        <v>79</v>
      </c>
      <c r="I1065" s="21" t="n">
        <v>2</v>
      </c>
      <c r="J1065" s="21" t="n">
        <v>1389.87</v>
      </c>
    </row>
    <row r="1066">
      <c r="A1066" s="19" t="n">
        <v>46304</v>
      </c>
      <c r="B1066" t="inlineStr">
        <is>
          <t>TikTok</t>
        </is>
      </c>
      <c r="C1066" t="inlineStr">
        <is>
          <t>UGC | Problem-solution | v2</t>
        </is>
      </c>
      <c r="D1066" t="inlineStr">
        <is>
          <t>Prospecting | Broad | EG</t>
        </is>
      </c>
      <c r="E1066" t="inlineStr">
        <is>
          <t>TT-UGC-ProbSol</t>
        </is>
      </c>
      <c r="F1066" t="n">
        <v>478.72</v>
      </c>
      <c r="G1066" s="20" t="n">
        <v>8505</v>
      </c>
      <c r="H1066" s="21" t="n">
        <v>94</v>
      </c>
      <c r="I1066" s="21" t="n">
        <v>2</v>
      </c>
      <c r="J1066" s="21" t="n">
        <v>1352.05</v>
      </c>
    </row>
    <row r="1067">
      <c r="A1067" s="19" t="n">
        <v>46304</v>
      </c>
      <c r="B1067" t="inlineStr">
        <is>
          <t>TikTok</t>
        </is>
      </c>
      <c r="C1067" t="inlineStr">
        <is>
          <t>UGC | Trend audio | v1</t>
        </is>
      </c>
      <c r="D1067" t="inlineStr">
        <is>
          <t>Prospecting | Broad | EG</t>
        </is>
      </c>
      <c r="E1067" t="inlineStr">
        <is>
          <t>TT-UGC-Trend</t>
        </is>
      </c>
      <c r="F1067" t="n">
        <v>376.62</v>
      </c>
      <c r="G1067" s="20" t="n">
        <v>6691</v>
      </c>
      <c r="H1067" s="21" t="n">
        <v>74</v>
      </c>
      <c r="I1067" s="21" t="n">
        <v>1</v>
      </c>
      <c r="J1067" s="21" t="n">
        <v>637.47</v>
      </c>
    </row>
    <row r="1068">
      <c r="A1068" s="19" t="n">
        <v>46304</v>
      </c>
      <c r="B1068" t="inlineStr">
        <is>
          <t>TikTok</t>
        </is>
      </c>
      <c r="C1068" t="inlineStr">
        <is>
          <t>UGC | Trend audio | v2</t>
        </is>
      </c>
      <c r="D1068" t="inlineStr">
        <is>
          <t>Prospecting | Broad | EG</t>
        </is>
      </c>
      <c r="E1068" t="inlineStr">
        <is>
          <t>TT-UGC-Trend</t>
        </is>
      </c>
      <c r="F1068" t="n">
        <v>256.16</v>
      </c>
      <c r="G1068" s="20" t="n">
        <v>4551</v>
      </c>
      <c r="H1068" s="21" t="n">
        <v>50</v>
      </c>
      <c r="I1068" s="21" t="n">
        <v>1</v>
      </c>
      <c r="J1068" s="21" t="n">
        <v>633.33</v>
      </c>
    </row>
    <row r="1069">
      <c r="A1069" s="19" t="n">
        <v>46304</v>
      </c>
      <c r="B1069" t="inlineStr">
        <is>
          <t>TikTok</t>
        </is>
      </c>
      <c r="C1069" t="inlineStr">
        <is>
          <t>Spark ad | Creator A</t>
        </is>
      </c>
      <c r="D1069" t="inlineStr">
        <is>
          <t>Spark | Creator A</t>
        </is>
      </c>
      <c r="E1069" t="inlineStr">
        <is>
          <t>TT-Spark-CreatorA</t>
        </is>
      </c>
      <c r="F1069" t="n">
        <v>365.93</v>
      </c>
      <c r="G1069" s="20" t="n">
        <v>6501</v>
      </c>
      <c r="H1069" s="21" t="n">
        <v>72</v>
      </c>
      <c r="I1069" s="21" t="n">
        <v>1</v>
      </c>
      <c r="J1069" s="21" t="n">
        <v>664.23</v>
      </c>
    </row>
    <row r="1070">
      <c r="A1070" s="19" t="n">
        <v>46305</v>
      </c>
      <c r="B1070" t="inlineStr">
        <is>
          <t>TikTok</t>
        </is>
      </c>
      <c r="C1070" t="inlineStr">
        <is>
          <t>UGC | Problem-solution | v2</t>
        </is>
      </c>
      <c r="D1070" t="inlineStr">
        <is>
          <t>Prospecting | Broad | EG</t>
        </is>
      </c>
      <c r="E1070" t="inlineStr">
        <is>
          <t>TT-UGC-ProbSol</t>
        </is>
      </c>
      <c r="F1070" t="n">
        <v>519.28</v>
      </c>
      <c r="G1070" s="20" t="n">
        <v>9497</v>
      </c>
      <c r="H1070" s="21" t="n">
        <v>127</v>
      </c>
      <c r="I1070" s="21" t="n">
        <v>2</v>
      </c>
      <c r="J1070" s="21" t="n">
        <v>1114.43</v>
      </c>
    </row>
    <row r="1071">
      <c r="A1071" s="19" t="n">
        <v>46305</v>
      </c>
      <c r="B1071" t="inlineStr">
        <is>
          <t>TikTok</t>
        </is>
      </c>
      <c r="C1071" t="inlineStr">
        <is>
          <t>UGC | Trend audio | v1</t>
        </is>
      </c>
      <c r="D1071" t="inlineStr">
        <is>
          <t>Prospecting | Broad | EG</t>
        </is>
      </c>
      <c r="E1071" t="inlineStr">
        <is>
          <t>TT-UGC-Trend</t>
        </is>
      </c>
      <c r="F1071" t="n">
        <v>426.87</v>
      </c>
      <c r="G1071" s="20" t="n">
        <v>7807</v>
      </c>
      <c r="H1071" s="21" t="n">
        <v>104</v>
      </c>
      <c r="I1071" s="21" t="n">
        <v>1</v>
      </c>
      <c r="J1071" s="21" t="n">
        <v>590.59</v>
      </c>
    </row>
    <row r="1072">
      <c r="A1072" s="19" t="n">
        <v>46305</v>
      </c>
      <c r="B1072" t="inlineStr">
        <is>
          <t>TikTok</t>
        </is>
      </c>
      <c r="C1072" t="inlineStr">
        <is>
          <t>UGC | Trend audio | v2</t>
        </is>
      </c>
      <c r="D1072" t="inlineStr">
        <is>
          <t>Prospecting | Broad | EG</t>
        </is>
      </c>
      <c r="E1072" t="inlineStr">
        <is>
          <t>TT-UGC-Trend</t>
        </is>
      </c>
      <c r="F1072" t="n">
        <v>308.18</v>
      </c>
      <c r="G1072" s="20" t="n">
        <v>5636</v>
      </c>
      <c r="H1072" s="21" t="n">
        <v>75</v>
      </c>
      <c r="I1072" s="21" t="n">
        <v>1</v>
      </c>
      <c r="J1072" s="21" t="n">
        <v>593.8</v>
      </c>
    </row>
    <row r="1073">
      <c r="A1073" s="19" t="n">
        <v>46305</v>
      </c>
      <c r="B1073" t="inlineStr">
        <is>
          <t>TikTok</t>
        </is>
      </c>
      <c r="C1073" t="inlineStr">
        <is>
          <t>Spark ad | Creator A</t>
        </is>
      </c>
      <c r="D1073" t="inlineStr">
        <is>
          <t>Spark | Creator A</t>
        </is>
      </c>
      <c r="E1073" t="inlineStr">
        <is>
          <t>TT-Spark-CreatorA</t>
        </is>
      </c>
      <c r="F1073" t="n">
        <v>421.29</v>
      </c>
      <c r="G1073" s="20" t="n">
        <v>7705</v>
      </c>
      <c r="H1073" s="21" t="n">
        <v>103</v>
      </c>
      <c r="I1073" s="21" t="n">
        <v>3</v>
      </c>
      <c r="J1073" s="21" t="n">
        <v>1839.71</v>
      </c>
    </row>
    <row r="1074">
      <c r="A1074" s="19" t="n">
        <v>46306</v>
      </c>
      <c r="B1074" t="inlineStr">
        <is>
          <t>TikTok</t>
        </is>
      </c>
      <c r="C1074" t="inlineStr">
        <is>
          <t>UGC | Problem-solution | v2</t>
        </is>
      </c>
      <c r="D1074" t="inlineStr">
        <is>
          <t>Prospecting | Broad | EG</t>
        </is>
      </c>
      <c r="E1074" t="inlineStr">
        <is>
          <t>TT-UGC-ProbSol</t>
        </is>
      </c>
      <c r="F1074" t="n">
        <v>552.5</v>
      </c>
      <c r="G1074" s="20" t="n">
        <v>9857</v>
      </c>
      <c r="H1074" s="21" t="n">
        <v>121</v>
      </c>
      <c r="I1074" s="21" t="n">
        <v>3</v>
      </c>
      <c r="J1074" s="21" t="n">
        <v>1765.32</v>
      </c>
    </row>
    <row r="1075">
      <c r="A1075" s="19" t="n">
        <v>46306</v>
      </c>
      <c r="B1075" t="inlineStr">
        <is>
          <t>TikTok</t>
        </is>
      </c>
      <c r="C1075" t="inlineStr">
        <is>
          <t>UGC | Trend audio | v1</t>
        </is>
      </c>
      <c r="D1075" t="inlineStr">
        <is>
          <t>Prospecting | Broad | EG</t>
        </is>
      </c>
      <c r="E1075" t="inlineStr">
        <is>
          <t>TT-UGC-Trend</t>
        </is>
      </c>
      <c r="F1075" t="n">
        <v>416.83</v>
      </c>
      <c r="G1075" s="20" t="n">
        <v>7437</v>
      </c>
      <c r="H1075" s="21" t="n">
        <v>91</v>
      </c>
      <c r="I1075" s="21" t="n">
        <v>1</v>
      </c>
      <c r="J1075" s="21" t="n">
        <v>610.41</v>
      </c>
    </row>
    <row r="1076">
      <c r="A1076" s="19" t="n">
        <v>46306</v>
      </c>
      <c r="B1076" t="inlineStr">
        <is>
          <t>TikTok</t>
        </is>
      </c>
      <c r="C1076" t="inlineStr">
        <is>
          <t>UGC | Trend audio | v2</t>
        </is>
      </c>
      <c r="D1076" t="inlineStr">
        <is>
          <t>Prospecting | Broad | EG</t>
        </is>
      </c>
      <c r="E1076" t="inlineStr">
        <is>
          <t>TT-UGC-Trend</t>
        </is>
      </c>
      <c r="F1076" t="n">
        <v>331.59</v>
      </c>
      <c r="G1076" s="20" t="n">
        <v>5916</v>
      </c>
      <c r="H1076" s="21" t="n">
        <v>73</v>
      </c>
      <c r="I1076" s="21" t="n">
        <v>1</v>
      </c>
      <c r="J1076" s="21" t="n">
        <v>654.66</v>
      </c>
    </row>
    <row r="1077">
      <c r="A1077" s="19" t="n">
        <v>46306</v>
      </c>
      <c r="B1077" t="inlineStr">
        <is>
          <t>TikTok</t>
        </is>
      </c>
      <c r="C1077" t="inlineStr">
        <is>
          <t>Spark ad | Creator A</t>
        </is>
      </c>
      <c r="D1077" t="inlineStr">
        <is>
          <t>Spark | Creator A</t>
        </is>
      </c>
      <c r="E1077" t="inlineStr">
        <is>
          <t>TT-Spark-CreatorA</t>
        </is>
      </c>
      <c r="F1077" t="n">
        <v>414.11</v>
      </c>
      <c r="G1077" s="20" t="n">
        <v>7388</v>
      </c>
      <c r="H1077" s="21" t="n">
        <v>91</v>
      </c>
      <c r="I1077" s="21" t="n">
        <v>3</v>
      </c>
      <c r="J1077" s="21" t="n">
        <v>1730.7</v>
      </c>
    </row>
    <row r="1078">
      <c r="A1078" s="19" t="n">
        <v>46307</v>
      </c>
      <c r="B1078" t="inlineStr">
        <is>
          <t>TikTok</t>
        </is>
      </c>
      <c r="C1078" t="inlineStr">
        <is>
          <t>UGC | Problem-solution | v2</t>
        </is>
      </c>
      <c r="D1078" t="inlineStr">
        <is>
          <t>Prospecting | Broad | EG</t>
        </is>
      </c>
      <c r="E1078" t="inlineStr">
        <is>
          <t>TT-UGC-ProbSol</t>
        </is>
      </c>
      <c r="F1078" t="n">
        <v>520.3099999999999</v>
      </c>
      <c r="G1078" s="20" t="n">
        <v>9345</v>
      </c>
      <c r="H1078" s="21" t="n">
        <v>107</v>
      </c>
      <c r="I1078" s="21" t="n">
        <v>2</v>
      </c>
      <c r="J1078" s="21" t="n">
        <v>1402.22</v>
      </c>
    </row>
    <row r="1079">
      <c r="A1079" s="19" t="n">
        <v>46307</v>
      </c>
      <c r="B1079" t="inlineStr">
        <is>
          <t>TikTok</t>
        </is>
      </c>
      <c r="C1079" t="inlineStr">
        <is>
          <t>UGC | Trend audio | v1</t>
        </is>
      </c>
      <c r="D1079" t="inlineStr">
        <is>
          <t>Prospecting | Broad | EG</t>
        </is>
      </c>
      <c r="E1079" t="inlineStr">
        <is>
          <t>TT-UGC-Trend</t>
        </is>
      </c>
      <c r="F1079" t="n">
        <v>390.82</v>
      </c>
      <c r="G1079" s="20" t="n">
        <v>7020</v>
      </c>
      <c r="H1079" s="21" t="n">
        <v>80</v>
      </c>
      <c r="I1079" s="21" t="n">
        <v>1</v>
      </c>
      <c r="J1079" s="21" t="n">
        <v>681.61</v>
      </c>
    </row>
    <row r="1080">
      <c r="A1080" s="19" t="n">
        <v>46307</v>
      </c>
      <c r="B1080" t="inlineStr">
        <is>
          <t>TikTok</t>
        </is>
      </c>
      <c r="C1080" t="inlineStr">
        <is>
          <t>UGC | Trend audio | v2</t>
        </is>
      </c>
      <c r="D1080" t="inlineStr">
        <is>
          <t>Prospecting | Broad | EG</t>
        </is>
      </c>
      <c r="E1080" t="inlineStr">
        <is>
          <t>TT-UGC-Trend</t>
        </is>
      </c>
      <c r="F1080" t="n">
        <v>250.23</v>
      </c>
      <c r="G1080" s="20" t="n">
        <v>4494</v>
      </c>
      <c r="H1080" s="21" t="n">
        <v>51</v>
      </c>
      <c r="I1080" s="21" t="n">
        <v>1</v>
      </c>
      <c r="J1080" s="21" t="n">
        <v>641.49</v>
      </c>
    </row>
    <row r="1081">
      <c r="A1081" s="19" t="n">
        <v>46307</v>
      </c>
      <c r="B1081" t="inlineStr">
        <is>
          <t>TikTok</t>
        </is>
      </c>
      <c r="C1081" t="inlineStr">
        <is>
          <t>Spark ad | Creator A</t>
        </is>
      </c>
      <c r="D1081" t="inlineStr">
        <is>
          <t>Spark | Creator A</t>
        </is>
      </c>
      <c r="E1081" t="inlineStr">
        <is>
          <t>TT-Spark-CreatorA</t>
        </is>
      </c>
      <c r="F1081" t="n">
        <v>375.01</v>
      </c>
      <c r="G1081" s="20" t="n">
        <v>6736</v>
      </c>
      <c r="H1081" s="21" t="n">
        <v>77</v>
      </c>
      <c r="I1081" s="21" t="n">
        <v>1</v>
      </c>
      <c r="J1081" s="21" t="n">
        <v>590.04</v>
      </c>
    </row>
  </sheetData>
  <autoFilter ref="A1:K108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0"/>
  <sheetViews>
    <sheetView showGridLines="0" workbookViewId="0">
      <pane ySplit="8" topLeftCell="A9" activePane="bottomLeft" state="frozen"/>
      <selection pane="bottomLeft" activeCell="A1" sqref="A1"/>
    </sheetView>
  </sheetViews>
  <sheetFormatPr baseColWidth="8" defaultRowHeight="15"/>
  <cols>
    <col width="38" customWidth="1" min="1" max="1"/>
    <col width="16" customWidth="1" min="2" max="2"/>
    <col width="16" customWidth="1" min="3" max="3"/>
    <col width="14" customWidth="1" min="4" max="4"/>
    <col width="12" customWidth="1" min="5" max="5"/>
    <col width="12" customWidth="1" min="6" max="6"/>
    <col width="54" customWidth="1" min="7" max="7"/>
    <col width="3" customWidth="1" min="8" max="8"/>
    <col width="32" customWidth="1" min="9" max="9"/>
    <col width="14" customWidth="1" min="10" max="10"/>
  </cols>
  <sheetData>
    <row r="1" ht="26" customHeight="1">
      <c r="A1" s="23" t="inlineStr">
        <is>
          <t>KPI Calculator  —  live</t>
        </is>
      </c>
    </row>
    <row r="2" ht="15" customHeight="1">
      <c r="A2" s="24" t="inlineStr">
        <is>
          <t>Every number recalculates from Fundamentals. Change the four date cells and the whole kit follows.</t>
        </is>
      </c>
    </row>
    <row r="3" ht="14" customHeight="1">
      <c r="A3" s="25" t="inlineStr">
        <is>
          <t>All amounts in EGP. Change the currency label on 'Start Here' after you copy this file.</t>
        </is>
      </c>
    </row>
    <row r="4" ht="22" customHeight="1">
      <c r="A4" s="5" t="inlineStr">
        <is>
          <t>Current period</t>
        </is>
      </c>
      <c r="B4" s="26" t="n">
        <v>46266</v>
      </c>
      <c r="C4" s="26" t="n">
        <v>46295</v>
      </c>
      <c r="I4" s="3" t="inlineStr">
        <is>
          <t xml:space="preserve">  BUSINESS INPUTS</t>
        </is>
      </c>
    </row>
    <row r="5">
      <c r="A5" s="5" t="inlineStr">
        <is>
          <t>Compare against</t>
        </is>
      </c>
      <c r="B5" s="26" t="n">
        <v>46235</v>
      </c>
      <c r="C5" s="26" t="n">
        <v>46265</v>
      </c>
      <c r="I5" s="27" t="inlineStr">
        <is>
          <t>COGS % of revenue</t>
        </is>
      </c>
      <c r="J5" s="28" t="n">
        <v>0.3</v>
      </c>
    </row>
    <row r="6">
      <c r="I6" s="27" t="inlineStr">
        <is>
          <t>Other variable cost % of revenue</t>
        </is>
      </c>
      <c r="J6" s="28" t="n">
        <v>0.06</v>
      </c>
    </row>
    <row r="7" ht="22" customHeight="1">
      <c r="A7" s="3" t="inlineStr">
        <is>
          <t xml:space="preserve">  PERIOD RESULTS  —  current versus comparison</t>
        </is>
      </c>
      <c r="B7" s="4" t="n"/>
      <c r="C7" s="4" t="n"/>
      <c r="D7" s="4" t="n"/>
      <c r="E7" s="4" t="n"/>
      <c r="F7" s="4" t="n"/>
      <c r="G7" s="4" t="n"/>
      <c r="I7" s="27" t="inlineStr">
        <is>
          <t>Shipping &amp; fulfilment per order</t>
        </is>
      </c>
      <c r="J7" s="29" t="n">
        <v>72</v>
      </c>
    </row>
    <row r="8">
      <c r="A8" s="30" t="inlineStr">
        <is>
          <t>Metric</t>
        </is>
      </c>
      <c r="B8" s="31" t="inlineStr">
        <is>
          <t>Current</t>
        </is>
      </c>
      <c r="C8" s="31" t="inlineStr">
        <is>
          <t>Compare</t>
        </is>
      </c>
      <c r="D8" s="31" t="inlineStr">
        <is>
          <t>Change</t>
        </is>
      </c>
      <c r="E8" s="31" t="inlineStr">
        <is>
          <t>Δ %</t>
        </is>
      </c>
      <c r="F8" s="31" t="inlineStr">
        <is>
          <t>Status</t>
        </is>
      </c>
      <c r="G8" s="30" t="inlineStr">
        <is>
          <t>How to read it</t>
        </is>
      </c>
      <c r="I8" s="22" t="inlineStr">
        <is>
          <t>Ask the client for these three. Everything about profit depends on them.</t>
        </is>
      </c>
    </row>
    <row r="9">
      <c r="A9" s="32" t="inlineStr">
        <is>
          <t>Ad spend</t>
        </is>
      </c>
      <c r="B9" s="33">
        <f>SUMIFS(Fundamentals!$C$2:$C$6000,Fundamentals!$A$2:$A$6000,"&gt;="&amp;$B$4,Fundamentals!$A$2:$A$6000,"&lt;="&amp;$C$4)</f>
        <v/>
      </c>
      <c r="C9" s="33">
        <f>SUMIFS(Fundamentals!$C$2:$C$6000,Fundamentals!$A$2:$A$6000,"&gt;="&amp;$B$5,Fundamentals!$A$2:$A$6000,"&lt;="&amp;$C$5)</f>
        <v/>
      </c>
      <c r="D9" s="34">
        <f>B9-C9</f>
        <v/>
      </c>
      <c r="E9" s="35">
        <f>IFERROR(B9/C9-1,0)</f>
        <v/>
      </c>
      <c r="F9" s="36" t="n"/>
      <c r="G9" s="37" t="inlineStr">
        <is>
          <t>Media only — exclude your fee</t>
        </is>
      </c>
    </row>
    <row r="10">
      <c r="A10" s="32" t="inlineStr">
        <is>
          <t>Impressions</t>
        </is>
      </c>
      <c r="B10" s="38">
        <f>SUMIFS(Fundamentals!$D$2:$D$6000,Fundamentals!$A$2:$A$6000,"&gt;="&amp;$B$4,Fundamentals!$A$2:$A$6000,"&lt;="&amp;$C$4)</f>
        <v/>
      </c>
      <c r="C10" s="38">
        <f>SUMIFS(Fundamentals!$D$2:$D$6000,Fundamentals!$A$2:$A$6000,"&gt;="&amp;$B$5,Fundamentals!$A$2:$A$6000,"&lt;="&amp;$C$5)</f>
        <v/>
      </c>
      <c r="D10" s="39">
        <f>B10-C10</f>
        <v/>
      </c>
      <c r="E10" s="35">
        <f>IFERROR(B10/C10-1,0)</f>
        <v/>
      </c>
      <c r="F10" s="36" t="n"/>
      <c r="G10" s="37" t="inlineStr">
        <is>
          <t>Volume of attention bought</t>
        </is>
      </c>
    </row>
    <row r="11">
      <c r="A11" s="32" t="inlineStr">
        <is>
          <t>Reach (sum of daily)</t>
        </is>
      </c>
      <c r="B11" s="38">
        <f>SUMIFS(Fundamentals!$E$2:$E$6000,Fundamentals!$A$2:$A$6000,"&gt;="&amp;$B$4,Fundamentals!$A$2:$A$6000,"&lt;="&amp;$C$4)</f>
        <v/>
      </c>
      <c r="C11" s="38">
        <f>SUMIFS(Fundamentals!$E$2:$E$6000,Fundamentals!$A$2:$A$6000,"&gt;="&amp;$B$5,Fundamentals!$A$2:$A$6000,"&lt;="&amp;$C$5)</f>
        <v/>
      </c>
      <c r="D11" s="39">
        <f>B11-C11</f>
        <v/>
      </c>
      <c r="E11" s="35">
        <f>IFERROR(B11/C11-1,0)</f>
        <v/>
      </c>
      <c r="F11" s="36" t="n"/>
      <c r="G11" s="37" t="inlineStr">
        <is>
          <t>Indicative — daily reach does not deduplicate across days</t>
        </is>
      </c>
    </row>
    <row r="12">
      <c r="A12" s="32" t="inlineStr">
        <is>
          <t>Clicks</t>
        </is>
      </c>
      <c r="B12" s="38">
        <f>SUMIFS(Fundamentals!$F$2:$F$6000,Fundamentals!$A$2:$A$6000,"&gt;="&amp;$B$4,Fundamentals!$A$2:$A$6000,"&lt;="&amp;$C$4)</f>
        <v/>
      </c>
      <c r="C12" s="38">
        <f>SUMIFS(Fundamentals!$F$2:$F$6000,Fundamentals!$A$2:$A$6000,"&gt;="&amp;$B$5,Fundamentals!$A$2:$A$6000,"&lt;="&amp;$C$5)</f>
        <v/>
      </c>
      <c r="D12" s="39">
        <f>B12-C12</f>
        <v/>
      </c>
      <c r="E12" s="35">
        <f>IFERROR(B12/C12-1,0)</f>
        <v/>
      </c>
      <c r="F12" s="36" t="n"/>
      <c r="G12" s="37" t="inlineStr">
        <is>
          <t>Use link / outbound clicks only</t>
        </is>
      </c>
    </row>
    <row r="13">
      <c r="A13" s="32" t="inlineStr">
        <is>
          <t>Landing page views</t>
        </is>
      </c>
      <c r="B13" s="38">
        <f>SUMIFS(Fundamentals!$G$2:$G$6000,Fundamentals!$A$2:$A$6000,"&gt;="&amp;$B$4,Fundamentals!$A$2:$A$6000,"&lt;="&amp;$C$4)</f>
        <v/>
      </c>
      <c r="C13" s="38">
        <f>SUMIFS(Fundamentals!$G$2:$G$6000,Fundamentals!$A$2:$A$6000,"&gt;="&amp;$B$5,Fundamentals!$A$2:$A$6000,"&lt;="&amp;$C$5)</f>
        <v/>
      </c>
      <c r="D13" s="39">
        <f>B13-C13</f>
        <v/>
      </c>
      <c r="E13" s="35">
        <f>IFERROR(B13/C13-1,0)</f>
        <v/>
      </c>
      <c r="F13" s="36" t="n"/>
      <c r="G13" s="37" t="inlineStr">
        <is>
          <t>Meta only — TikTok does not report LPV</t>
        </is>
      </c>
    </row>
    <row r="14">
      <c r="A14" s="32" t="inlineStr">
        <is>
          <t>Add to cart</t>
        </is>
      </c>
      <c r="B14" s="38">
        <f>SUMIFS(Fundamentals!$H$2:$H$6000,Fundamentals!$A$2:$A$6000,"&gt;="&amp;$B$4,Fundamentals!$A$2:$A$6000,"&lt;="&amp;$C$4)</f>
        <v/>
      </c>
      <c r="C14" s="38">
        <f>SUMIFS(Fundamentals!$H$2:$H$6000,Fundamentals!$A$2:$A$6000,"&gt;="&amp;$B$5,Fundamentals!$A$2:$A$6000,"&lt;="&amp;$C$5)</f>
        <v/>
      </c>
      <c r="D14" s="39">
        <f>B14-C14</f>
        <v/>
      </c>
      <c r="E14" s="35">
        <f>IFERROR(B14/C14-1,0)</f>
        <v/>
      </c>
      <c r="F14" s="36" t="n"/>
      <c r="G14" s="37" t="inlineStr">
        <is>
          <t>Cheap early intent</t>
        </is>
      </c>
    </row>
    <row r="15">
      <c r="A15" s="32" t="inlineStr">
        <is>
          <t>Initiate checkout</t>
        </is>
      </c>
      <c r="B15" s="38">
        <f>SUMIFS(Fundamentals!$I$2:$I$6000,Fundamentals!$A$2:$A$6000,"&gt;="&amp;$B$4,Fundamentals!$A$2:$A$6000,"&lt;="&amp;$C$4)</f>
        <v/>
      </c>
      <c r="C15" s="38">
        <f>SUMIFS(Fundamentals!$I$2:$I$6000,Fundamentals!$A$2:$A$6000,"&gt;="&amp;$B$5,Fundamentals!$A$2:$A$6000,"&lt;="&amp;$C$5)</f>
        <v/>
      </c>
      <c r="D15" s="39">
        <f>B15-C15</f>
        <v/>
      </c>
      <c r="E15" s="35">
        <f>IFERROR(B15/C15-1,0)</f>
        <v/>
      </c>
      <c r="F15" s="36" t="n"/>
      <c r="G15" s="37" t="inlineStr">
        <is>
          <t>Last step before money moves</t>
        </is>
      </c>
    </row>
    <row r="16">
      <c r="A16" s="32" t="inlineStr">
        <is>
          <t>Purchases</t>
        </is>
      </c>
      <c r="B16" s="38">
        <f>SUMIFS(Fundamentals!$J$2:$J$6000,Fundamentals!$A$2:$A$6000,"&gt;="&amp;$B$4,Fundamentals!$A$2:$A$6000,"&lt;="&amp;$C$4)</f>
        <v/>
      </c>
      <c r="C16" s="38">
        <f>SUMIFS(Fundamentals!$J$2:$J$6000,Fundamentals!$A$2:$A$6000,"&gt;="&amp;$B$5,Fundamentals!$A$2:$A$6000,"&lt;="&amp;$C$5)</f>
        <v/>
      </c>
      <c r="D16" s="39">
        <f>B16-C16</f>
        <v/>
      </c>
      <c r="E16" s="35">
        <f>IFERROR(B16/C16-1,0)</f>
        <v/>
      </c>
      <c r="F16" s="36" t="n"/>
      <c r="G16" s="37" t="inlineStr">
        <is>
          <t>Platform-attributed orders</t>
        </is>
      </c>
    </row>
    <row r="17">
      <c r="A17" s="32" t="inlineStr">
        <is>
          <t>Revenue</t>
        </is>
      </c>
      <c r="B17" s="33">
        <f>SUMIFS(Fundamentals!$K$2:$K$6000,Fundamentals!$A$2:$A$6000,"&gt;="&amp;$B$4,Fundamentals!$A$2:$A$6000,"&lt;="&amp;$C$4)</f>
        <v/>
      </c>
      <c r="C17" s="33">
        <f>SUMIFS(Fundamentals!$K$2:$K$6000,Fundamentals!$A$2:$A$6000,"&gt;="&amp;$B$5,Fundamentals!$A$2:$A$6000,"&lt;="&amp;$C$5)</f>
        <v/>
      </c>
      <c r="D17" s="34">
        <f>B17-C17</f>
        <v/>
      </c>
      <c r="E17" s="35">
        <f>IFERROR(B17/C17-1,0)</f>
        <v/>
      </c>
      <c r="F17" s="36" t="n"/>
      <c r="G17" s="37" t="inlineStr">
        <is>
          <t>Platform purchase value, not bank revenue</t>
        </is>
      </c>
    </row>
    <row r="19">
      <c r="A19" s="32" t="inlineStr">
        <is>
          <t>CPM</t>
        </is>
      </c>
      <c r="B19" s="33">
        <f>IFERROR(B9/B10*1000,0)</f>
        <v/>
      </c>
      <c r="C19" s="34">
        <f>IFERROR(C9/C10*1000,0)</f>
        <v/>
      </c>
      <c r="D19" s="34">
        <f>B19-C19</f>
        <v/>
      </c>
      <c r="E19" s="35">
        <f>IFERROR(B19/C19-1,0)</f>
        <v/>
      </c>
      <c r="F19" s="36">
        <f>IFERROR(INDEX(Benchmarks!$G$7:$G$21,1),"—")</f>
        <v/>
      </c>
      <c r="G19" s="37" t="inlineStr">
        <is>
          <t>Cost of 1,000 impressions</t>
        </is>
      </c>
    </row>
    <row r="20">
      <c r="A20" s="32" t="inlineStr">
        <is>
          <t>CPC</t>
        </is>
      </c>
      <c r="B20" s="33">
        <f>IFERROR(B9/B12,0)</f>
        <v/>
      </c>
      <c r="C20" s="34">
        <f>IFERROR(C9/C12,0)</f>
        <v/>
      </c>
      <c r="D20" s="34">
        <f>B20-C20</f>
        <v/>
      </c>
      <c r="E20" s="35">
        <f>IFERROR(B20/C20-1,0)</f>
        <v/>
      </c>
      <c r="F20" s="36">
        <f>IFERROR(INDEX(Benchmarks!$G$7:$G$21,2),"—")</f>
        <v/>
      </c>
      <c r="G20" s="37" t="inlineStr">
        <is>
          <t>Cost of a link click</t>
        </is>
      </c>
    </row>
    <row r="21">
      <c r="A21" s="32" t="inlineStr">
        <is>
          <t>CTR</t>
        </is>
      </c>
      <c r="B21" s="40">
        <f>IFERROR(B12/B10,0)</f>
        <v/>
      </c>
      <c r="C21" s="35">
        <f>IFERROR(C12/C10,0)</f>
        <v/>
      </c>
      <c r="D21" s="35">
        <f>B21-C21</f>
        <v/>
      </c>
      <c r="E21" s="35">
        <f>IFERROR(B21/C21-1,0)</f>
        <v/>
      </c>
      <c r="F21" s="36">
        <f>IFERROR(INDEX(Benchmarks!$G$7:$G$21,3),"—")</f>
        <v/>
      </c>
      <c r="G21" s="37" t="inlineStr">
        <is>
          <t>Creative hook strength</t>
        </is>
      </c>
    </row>
    <row r="22">
      <c r="A22" s="32" t="inlineStr">
        <is>
          <t>Frequency</t>
        </is>
      </c>
      <c r="B22" s="41">
        <f>IFERROR(B10/B11,0)</f>
        <v/>
      </c>
      <c r="C22" s="42">
        <f>IFERROR(C10/C11,0)</f>
        <v/>
      </c>
      <c r="D22" s="42">
        <f>B22-C22</f>
        <v/>
      </c>
      <c r="E22" s="35">
        <f>IFERROR(B22/C22-1,0)</f>
        <v/>
      </c>
      <c r="F22" s="36">
        <f>IFERROR(INDEX(Benchmarks!$G$7:$G$21,9),"—")</f>
        <v/>
      </c>
      <c r="G22" s="37" t="inlineStr">
        <is>
          <t>Impressions per person. Above 3.5, refresh creative</t>
        </is>
      </c>
    </row>
    <row r="23">
      <c r="A23" s="32" t="inlineStr">
        <is>
          <t>Click → Add to cart %</t>
        </is>
      </c>
      <c r="B23" s="40">
        <f>IFERROR(B14/B12,0)</f>
        <v/>
      </c>
      <c r="C23" s="35">
        <f>IFERROR(C14/C12,0)</f>
        <v/>
      </c>
      <c r="D23" s="35">
        <f>B23-C23</f>
        <v/>
      </c>
      <c r="E23" s="35">
        <f>IFERROR(B23/C23-1,0)</f>
        <v/>
      </c>
      <c r="F23" s="36">
        <f>IFERROR(INDEX(Benchmarks!$G$7:$G$21,5),"—")</f>
        <v/>
      </c>
      <c r="G23" s="37" t="inlineStr">
        <is>
          <t>Across both platforms</t>
        </is>
      </c>
    </row>
    <row r="24">
      <c r="A24" s="32" t="inlineStr">
        <is>
          <t>Add to cart → Checkout %</t>
        </is>
      </c>
      <c r="B24" s="40">
        <f>IFERROR(B15/B14,0)</f>
        <v/>
      </c>
      <c r="C24" s="35">
        <f>IFERROR(C15/C14,0)</f>
        <v/>
      </c>
      <c r="D24" s="35">
        <f>B24-C24</f>
        <v/>
      </c>
      <c r="E24" s="35">
        <f>IFERROR(B24/C24-1,0)</f>
        <v/>
      </c>
      <c r="F24" s="36">
        <f>IFERROR(INDEX(Benchmarks!$G$7:$G$21,6),"—")</f>
        <v/>
      </c>
      <c r="G24" s="37" t="inlineStr">
        <is>
          <t>Shipping cost and fees show up here</t>
        </is>
      </c>
    </row>
    <row r="25">
      <c r="A25" s="32" t="inlineStr">
        <is>
          <t>Checkout → Purchase %</t>
        </is>
      </c>
      <c r="B25" s="40">
        <f>IFERROR(B16/B15,0)</f>
        <v/>
      </c>
      <c r="C25" s="35">
        <f>IFERROR(C16/C15,0)</f>
        <v/>
      </c>
      <c r="D25" s="35">
        <f>B25-C25</f>
        <v/>
      </c>
      <c r="E25" s="35">
        <f>IFERROR(B25/C25-1,0)</f>
        <v/>
      </c>
      <c r="F25" s="36">
        <f>IFERROR(INDEX(Benchmarks!$G$7:$G$21,7),"—")</f>
        <v/>
      </c>
      <c r="G25" s="37" t="inlineStr">
        <is>
          <t>Payment options and trust</t>
        </is>
      </c>
    </row>
    <row r="26">
      <c r="A26" s="32" t="inlineStr">
        <is>
          <t>Click → Purchase CVR %</t>
        </is>
      </c>
      <c r="B26" s="40">
        <f>IFERROR(B16/B12,0)</f>
        <v/>
      </c>
      <c r="C26" s="35">
        <f>IFERROR(C16/C12,0)</f>
        <v/>
      </c>
      <c r="D26" s="35">
        <f>B26-C26</f>
        <v/>
      </c>
      <c r="E26" s="35">
        <f>IFERROR(B26/C26-1,0)</f>
        <v/>
      </c>
      <c r="F26" s="36">
        <f>IFERROR(INDEX(Benchmarks!$G$7:$G$21,8),"—")</f>
        <v/>
      </c>
      <c r="G26" s="37" t="inlineStr">
        <is>
          <t>End-to-end site conversion on paid clicks</t>
        </is>
      </c>
    </row>
    <row r="27">
      <c r="A27" s="32" t="inlineStr">
        <is>
          <t>Click → Landing page % (Meta)</t>
        </is>
      </c>
      <c r="B27" s="40">
        <f>IFERROR(SUMIFS(Fundamentals!$G$2:$G$6000,Fundamentals!$A$2:$A$6000,"&gt;="&amp;$B$4,Fundamentals!$A$2:$A$6000,"&lt;="&amp;$C$4)/SUMIFS(Fundamentals!$F$2:$F$6000,Fundamentals!$A$2:$A$6000,"&gt;="&amp;$B$4,Fundamentals!$A$2:$A$6000,"&lt;="&amp;$C$4,Fundamentals!$B$2:$B$6000,"Meta"),0)</f>
        <v/>
      </c>
      <c r="C27" s="35">
        <f>IFERROR(SUMIFS(Fundamentals!$G$2:$G$6000,Fundamentals!$A$2:$A$6000,"&gt;="&amp;$B$5,Fundamentals!$A$2:$A$6000,"&lt;="&amp;$C$5)/SUMIFS(Fundamentals!$F$2:$F$6000,Fundamentals!$A$2:$A$6000,"&gt;="&amp;$B$5,Fundamentals!$A$2:$A$6000,"&lt;="&amp;$C$5,Fundamentals!$B$2:$B$6000,"Meta"),0)</f>
        <v/>
      </c>
      <c r="D27" s="35">
        <f>B27-C27</f>
        <v/>
      </c>
      <c r="E27" s="35">
        <f>IFERROR(B27/C27-1,0)</f>
        <v/>
      </c>
      <c r="F27" s="36">
        <f>IFERROR(INDEX(Benchmarks!$G$7:$G$21,4),"—")</f>
        <v/>
      </c>
      <c r="G27" s="37" t="inlineStr">
        <is>
          <t>Page-speed diagnostic. Below 60% is a technical problem</t>
        </is>
      </c>
    </row>
    <row r="28">
      <c r="A28" s="32" t="inlineStr">
        <is>
          <t>Cost per purchase</t>
        </is>
      </c>
      <c r="B28" s="33">
        <f>IFERROR(B9/B16,0)</f>
        <v/>
      </c>
      <c r="C28" s="34">
        <f>IFERROR(C9/C16,0)</f>
        <v/>
      </c>
      <c r="D28" s="34">
        <f>B28-C28</f>
        <v/>
      </c>
      <c r="E28" s="35">
        <f>IFERROR(B28/C28-1,0)</f>
        <v/>
      </c>
      <c r="F28" s="36">
        <f>"—"</f>
        <v/>
      </c>
      <c r="G28" s="37" t="inlineStr">
        <is>
          <t>Always read beside AOV</t>
        </is>
      </c>
    </row>
    <row r="29">
      <c r="A29" s="32" t="inlineStr">
        <is>
          <t>AOV</t>
        </is>
      </c>
      <c r="B29" s="33">
        <f>IFERROR(B17/B16,0)</f>
        <v/>
      </c>
      <c r="C29" s="34">
        <f>IFERROR(C17/C16,0)</f>
        <v/>
      </c>
      <c r="D29" s="34">
        <f>B29-C29</f>
        <v/>
      </c>
      <c r="E29" s="35">
        <f>IFERROR(B29/C29-1,0)</f>
        <v/>
      </c>
      <c r="F29" s="36">
        <f>IFERROR(INDEX(Benchmarks!$G$7:$G$21,10),"—")</f>
        <v/>
      </c>
      <c r="G29" s="37" t="inlineStr">
        <is>
          <t>Average order value</t>
        </is>
      </c>
    </row>
    <row r="30">
      <c r="A30" s="43" t="inlineStr">
        <is>
          <t>ROAS</t>
        </is>
      </c>
      <c r="B30" s="44">
        <f>IFERROR(B17/B9,0)</f>
        <v/>
      </c>
      <c r="C30" s="45">
        <f>IFERROR(C17/C9,0)</f>
        <v/>
      </c>
      <c r="D30" s="45">
        <f>B30-C30</f>
        <v/>
      </c>
      <c r="E30" s="46">
        <f>IFERROR(B30/C30-1,0)</f>
        <v/>
      </c>
      <c r="F30" s="47">
        <f>IFERROR(INDEX(Benchmarks!$G$7:$G$21,12),"—")</f>
        <v/>
      </c>
      <c r="G30" s="48" t="inlineStr">
        <is>
          <t>Meaningless without breakeven ROAS</t>
        </is>
      </c>
    </row>
    <row r="31">
      <c r="A31" s="32" t="inlineStr">
        <is>
          <t>Revenue per 1,000 impressions</t>
        </is>
      </c>
      <c r="B31" s="33">
        <f>IFERROR(B17/B10*1000,0)</f>
        <v/>
      </c>
      <c r="C31" s="34">
        <f>IFERROR(C17/C10*1000,0)</f>
        <v/>
      </c>
      <c r="D31" s="34">
        <f>B31-C31</f>
        <v/>
      </c>
      <c r="E31" s="35">
        <f>IFERROR(B31/C31-1,0)</f>
        <v/>
      </c>
      <c r="F31" s="36">
        <f>IFERROR(INDEX(Benchmarks!$G$7:$G$21,11),"—")</f>
        <v/>
      </c>
      <c r="G31" s="37" t="inlineStr">
        <is>
          <t>Cleanest single measure of media efficiency</t>
        </is>
      </c>
    </row>
    <row r="33">
      <c r="A33" s="32" t="inlineStr">
        <is>
          <t>Contribution margin %</t>
        </is>
      </c>
      <c r="B33" s="40">
        <f>IFERROR(1-$J$5-$J$6-$J$7/B29,0)</f>
        <v/>
      </c>
      <c r="C33" s="35">
        <f>IFERROR(1-$J$5-$J$6-$J$7/C29,0)</f>
        <v/>
      </c>
      <c r="D33" s="35">
        <f>B33-C33</f>
        <v/>
      </c>
      <c r="E33" s="35">
        <f>IFERROR(B33/C33-1,0)</f>
        <v/>
      </c>
      <c r="F33" s="36">
        <f>IFERROR(INDEX(Benchmarks!$G$7:$G$21,15),"—")</f>
        <v/>
      </c>
      <c r="G33" s="37" t="inlineStr">
        <is>
          <t>What's left from revenue to pay for ads</t>
        </is>
      </c>
    </row>
    <row r="34">
      <c r="A34" s="32" t="inlineStr">
        <is>
          <t>Contribution</t>
        </is>
      </c>
      <c r="B34" s="33">
        <f>IFERROR(B17*B33,0)</f>
        <v/>
      </c>
      <c r="C34" s="34">
        <f>IFERROR(C17*C33,0)</f>
        <v/>
      </c>
      <c r="D34" s="34">
        <f>B34-C34</f>
        <v/>
      </c>
      <c r="E34" s="35">
        <f>IFERROR(B34/C34-1,0)</f>
        <v/>
      </c>
      <c r="F34" s="36" t="n"/>
      <c r="G34" s="37" t="inlineStr">
        <is>
          <t>Revenue minus all variable costs</t>
        </is>
      </c>
    </row>
    <row r="35">
      <c r="A35" s="43" t="inlineStr">
        <is>
          <t>BREAKEVEN ROAS</t>
        </is>
      </c>
      <c r="B35" s="44">
        <f>IFERROR(1/B33,0)</f>
        <v/>
      </c>
      <c r="C35" s="45">
        <f>IFERROR(1/C33,0)</f>
        <v/>
      </c>
      <c r="D35" s="45">
        <f>B35-C35</f>
        <v/>
      </c>
      <c r="E35" s="46">
        <f>IFERROR(B35/C35-1,0)</f>
        <v/>
      </c>
      <c r="F35" s="47">
        <f>IFERROR(INDEX(Benchmarks!$G$7:$G$21,13),"—")</f>
        <v/>
      </c>
      <c r="G35" s="48" t="inlineStr">
        <is>
          <t>Below this, every sale loses money</t>
        </is>
      </c>
    </row>
    <row r="36">
      <c r="A36" s="43" t="inlineStr">
        <is>
          <t>Profit after ad spend</t>
        </is>
      </c>
      <c r="B36" s="49">
        <f>IFERROR(B34-B9,0)</f>
        <v/>
      </c>
      <c r="C36" s="50">
        <f>IFERROR(C34-C9,0)</f>
        <v/>
      </c>
      <c r="D36" s="50">
        <f>B36-C36</f>
        <v/>
      </c>
      <c r="E36" s="46">
        <f>IFERROR(B36/C36-1,0)</f>
        <v/>
      </c>
      <c r="F36" s="47" t="n"/>
      <c r="G36" s="48" t="inlineStr">
        <is>
          <t>Contribution minus media</t>
        </is>
      </c>
    </row>
    <row r="37">
      <c r="A37" s="32" t="inlineStr">
        <is>
          <t>POAS (profit on ad spend)</t>
        </is>
      </c>
      <c r="B37" s="51">
        <f>IFERROR(B36/B9,0)</f>
        <v/>
      </c>
      <c r="C37" s="52">
        <f>IFERROR(C36/C9,0)</f>
        <v/>
      </c>
      <c r="D37" s="52">
        <f>B37-C37</f>
        <v/>
      </c>
      <c r="E37" s="35">
        <f>IFERROR(B37/C37-1,0)</f>
        <v/>
      </c>
      <c r="F37" s="36">
        <f>IFERROR(INDEX(Benchmarks!$G$7:$G$21,14),"—")</f>
        <v/>
      </c>
      <c r="G37" s="37" t="inlineStr">
        <is>
          <t>Profit per unit of spend</t>
        </is>
      </c>
    </row>
    <row r="38">
      <c r="A38" s="32" t="inlineStr">
        <is>
          <t>Spend as % of revenue</t>
        </is>
      </c>
      <c r="B38" s="40">
        <f>IFERROR(B9/B17,0)</f>
        <v/>
      </c>
      <c r="C38" s="35">
        <f>IFERROR(C9/C17,0)</f>
        <v/>
      </c>
      <c r="D38" s="35">
        <f>B38-C38</f>
        <v/>
      </c>
      <c r="E38" s="35">
        <f>IFERROR(B38/C38-1,0)</f>
        <v/>
      </c>
      <c r="F38" s="36" t="n"/>
      <c r="G38" s="37" t="inlineStr">
        <is>
          <t>Share of revenue going back into ads</t>
        </is>
      </c>
    </row>
    <row r="40" ht="30" customHeight="1">
      <c r="A40" s="53">
        <f>IF(B16=0,"No purchases in this period — check the date cells and the platform attribution window.","Spend "&amp;TEXT(ROUND(B9,0),"#,##0")&amp;" → revenue "&amp;TEXT(ROUND(B17,0),"#,##0")&amp;" ("&amp;ROUND(B30,2)&amp;"x ROAS) against a breakeven of "&amp;ROUND(B35,2)&amp;"x. "&amp;IF(B30&gt;=B35,"Profitable","Below breakeven — the account is losing money at this margin")&amp;" · profit after ad spend "&amp;TEXT(ROUND(B36,0),"#,##0")&amp;" · POAS "&amp;ROUND(B37,2)&amp;"x.")</f>
        <v/>
      </c>
      <c r="B40" s="54" t="n"/>
      <c r="C40" s="54" t="n"/>
      <c r="D40" s="54" t="n"/>
      <c r="E40" s="54" t="n"/>
      <c r="F40" s="54" t="n"/>
      <c r="G40" s="54" t="n"/>
    </row>
  </sheetData>
  <mergeCells count="7">
    <mergeCell ref="I4:J4"/>
    <mergeCell ref="A1:G1"/>
    <mergeCell ref="A40:G40"/>
    <mergeCell ref="A3:G3"/>
    <mergeCell ref="A2:G2"/>
    <mergeCell ref="A7:G7"/>
    <mergeCell ref="I8:J9"/>
  </mergeCells>
  <conditionalFormatting sqref="E9:E38">
    <cfRule type="cellIs" priority="1" operator="lessThan" dxfId="0">
      <formula>0</formula>
    </cfRule>
    <cfRule type="cellIs" priority="2" operator="greaterThan" dxfId="1">
      <formula>0</formula>
    </cfRule>
  </conditionalFormatting>
  <conditionalFormatting sqref="F9:F38">
    <cfRule type="expression" priority="3" dxfId="2">
      <formula>$F9="Weak"</formula>
    </cfRule>
    <cfRule type="expression" priority="4" dxfId="3">
      <formula>$F9="Strong"</formula>
    </cfRule>
    <cfRule type="expression" priority="5" dxfId="4">
      <formula>$F9="Watch"</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
  <sheetViews>
    <sheetView showGridLines="0" workbookViewId="0">
      <pane ySplit="4" topLeftCell="A5" activePane="bottomLeft" state="frozen"/>
      <selection pane="bottomLeft"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ht="28" customHeight="1">
      <c r="A1" s="55">
        <f>'Start Here'!C6</f>
        <v/>
      </c>
    </row>
    <row r="2">
      <c r="A2" s="56">
        <f>TEXT('KPI Calc'!$B$4,"yyyy-mm-dd")&amp;" → "&amp;TEXT('KPI Calc'!$C$4,"yyyy-mm-dd")&amp;"      vs      "&amp;TEXT('KPI Calc'!$B$5,"yyyy-mm-dd")&amp;" → "&amp;TEXT('KPI Calc'!$C$5,"yyyy-mm-dd")</f>
        <v/>
      </c>
    </row>
    <row r="3">
      <c r="A3" s="25">
        <f>"Prepared by "&amp;'Start Here'!C7&amp;"   ·   all amounts in EGP"</f>
        <v/>
      </c>
    </row>
    <row r="5" ht="14" customHeight="1">
      <c r="A5" s="57" t="inlineStr">
        <is>
          <t>AD SPEND</t>
        </is>
      </c>
      <c r="B5" s="58" t="n"/>
      <c r="C5" s="57" t="inlineStr">
        <is>
          <t>REVENUE</t>
        </is>
      </c>
      <c r="D5" s="58" t="n"/>
      <c r="E5" s="57" t="inlineStr">
        <is>
          <t>ROAS</t>
        </is>
      </c>
      <c r="F5" s="58" t="n"/>
      <c r="G5" s="57" t="inlineStr">
        <is>
          <t>PROFIT AFTER AD SPEND</t>
        </is>
      </c>
      <c r="H5" s="58" t="n"/>
    </row>
    <row r="6" ht="24" customHeight="1">
      <c r="A6" s="59">
        <f>'KPI Calc'!B9</f>
        <v/>
      </c>
      <c r="B6" s="58" t="n"/>
      <c r="C6" s="59">
        <f>'KPI Calc'!B17</f>
        <v/>
      </c>
      <c r="D6" s="58" t="n"/>
      <c r="E6" s="60">
        <f>'KPI Calc'!B30</f>
        <v/>
      </c>
      <c r="F6" s="58" t="n"/>
      <c r="G6" s="59">
        <f>'KPI Calc'!B36</f>
        <v/>
      </c>
      <c r="H6" s="58" t="n"/>
    </row>
    <row r="7" ht="12" customHeight="1">
      <c r="A7" s="61">
        <f>"vs "&amp;TEXT('KPI Calc'!C9,"#,##0")&amp;" last period"</f>
        <v/>
      </c>
      <c r="B7" s="58" t="n"/>
      <c r="C7" s="61">
        <f>"vs "&amp;TEXT('KPI Calc'!C17,"#,##0")&amp;" last period"</f>
        <v/>
      </c>
      <c r="D7" s="58" t="n"/>
      <c r="E7" s="61">
        <f>"breakeven "&amp;ROUND('KPI Calc'!B35,2)&amp;"x"</f>
        <v/>
      </c>
      <c r="F7" s="58" t="n"/>
      <c r="G7" s="61">
        <f>"POAS "&amp;ROUND('KPI Calc'!B37,2)&amp;"x"</f>
        <v/>
      </c>
      <c r="H7" s="58" t="n"/>
    </row>
    <row r="9" ht="14" customHeight="1">
      <c r="A9" s="57" t="inlineStr">
        <is>
          <t>PURCHASES</t>
        </is>
      </c>
      <c r="B9" s="58" t="n"/>
      <c r="C9" s="57" t="inlineStr">
        <is>
          <t>AOV</t>
        </is>
      </c>
      <c r="D9" s="58" t="n"/>
      <c r="E9" s="57" t="inlineStr">
        <is>
          <t>COST PER PURCHASE</t>
        </is>
      </c>
      <c r="F9" s="58" t="n"/>
      <c r="G9" s="57" t="inlineStr">
        <is>
          <t>REVENUE / 1,000 IMPRESSIONS</t>
        </is>
      </c>
      <c r="H9" s="58" t="n"/>
    </row>
    <row r="10" ht="24" customHeight="1">
      <c r="A10" s="62">
        <f>'KPI Calc'!B16</f>
        <v/>
      </c>
      <c r="B10" s="58" t="n"/>
      <c r="C10" s="59">
        <f>'KPI Calc'!B29</f>
        <v/>
      </c>
      <c r="D10" s="58" t="n"/>
      <c r="E10" s="59">
        <f>'KPI Calc'!B28</f>
        <v/>
      </c>
      <c r="F10" s="58" t="n"/>
      <c r="G10" s="59">
        <f>'KPI Calc'!B31</f>
        <v/>
      </c>
      <c r="H10" s="58" t="n"/>
    </row>
    <row r="11" ht="12" customHeight="1">
      <c r="A11" s="61">
        <f>"vs "&amp;TEXT('KPI Calc'!C16,"#,##0")&amp;" last period"</f>
        <v/>
      </c>
      <c r="B11" s="58" t="n"/>
      <c r="C11" s="61">
        <f>"vs "&amp;TEXT('KPI Calc'!C29,"#,##0")&amp;" last period"</f>
        <v/>
      </c>
      <c r="D11" s="58" t="n"/>
      <c r="E11" s="61">
        <f>"contribution/order "&amp;TEXT('KPI Calc'!B34/MAX(1,'KPI Calc'!B16),"#,##0")</f>
        <v/>
      </c>
      <c r="F11" s="58" t="n"/>
      <c r="G11" s="61">
        <f>"CPM "&amp;TEXT('KPI Calc'!B19,"#,##0")</f>
        <v/>
      </c>
      <c r="H11" s="58" t="n"/>
    </row>
    <row r="13" ht="22" customHeight="1">
      <c r="A13" s="3" t="inlineStr">
        <is>
          <t xml:space="preserve">  WHERE THE BUDGET WENT</t>
        </is>
      </c>
      <c r="B13" s="4" t="n"/>
      <c r="C13" s="4" t="n"/>
      <c r="D13" s="4" t="n"/>
      <c r="E13" s="4" t="n"/>
      <c r="F13" s="4" t="n"/>
      <c r="G13" s="4" t="n"/>
      <c r="H13" s="4" t="n"/>
    </row>
    <row r="14">
      <c r="A14" s="63" t="inlineStr">
        <is>
          <t>Platform</t>
        </is>
      </c>
      <c r="B14" s="64" t="inlineStr">
        <is>
          <t>Spend</t>
        </is>
      </c>
      <c r="C14" s="64" t="inlineStr">
        <is>
          <t>Revenue</t>
        </is>
      </c>
      <c r="D14" s="64" t="inlineStr">
        <is>
          <t>ROAS</t>
        </is>
      </c>
      <c r="E14" s="64" t="inlineStr">
        <is>
          <t>Purchases</t>
        </is>
      </c>
      <c r="F14" s="64" t="inlineStr">
        <is>
          <t>Cost / purchase</t>
        </is>
      </c>
      <c r="G14" s="64" t="inlineStr">
        <is>
          <t>Share of spend</t>
        </is>
      </c>
    </row>
    <row r="15">
      <c r="A15" s="5" t="inlineStr">
        <is>
          <t>Meta</t>
        </is>
      </c>
      <c r="B15" s="65">
        <f>SUMIFS(Fundamentals!$C$2:$C$6000,Fundamentals!$A$2:$A$6000,"&gt;="&amp;$B$4,Fundamentals!$A$2:$A$6000,"&lt;="&amp;$C$4,Fundamentals!$B$2:$B$6000,"Meta")</f>
        <v/>
      </c>
      <c r="C15" s="65">
        <f>SUMIFS(Fundamentals!$K$2:$K$6000,Fundamentals!$A$2:$A$6000,"&gt;="&amp;$B$4,Fundamentals!$A$2:$A$6000,"&lt;="&amp;$C$4,Fundamentals!$B$2:$B$6000,"Meta")</f>
        <v/>
      </c>
      <c r="D15" s="66">
        <f>IFERROR(C15/B15,0)</f>
        <v/>
      </c>
      <c r="E15" s="67">
        <f>SUMIFS(Fundamentals!$J$2:$J$6000,Fundamentals!$A$2:$A$6000,"&gt;="&amp;$B$4,Fundamentals!$A$2:$A$6000,"&lt;="&amp;$C$4,Fundamentals!$B$2:$B$6000,"Meta")</f>
        <v/>
      </c>
      <c r="F15" s="65">
        <f>IFERROR(B15/E15,0)</f>
        <v/>
      </c>
      <c r="G15" s="68">
        <f>IFERROR(B15/$B$17,0)</f>
        <v/>
      </c>
      <c r="H15" s="69">
        <f>REPT("█",ROUND(14*IFERROR(B15/$B$17,0),0))</f>
        <v/>
      </c>
    </row>
    <row r="16">
      <c r="A16" s="5" t="inlineStr">
        <is>
          <t>TikTok</t>
        </is>
      </c>
      <c r="B16" s="65">
        <f>SUMIFS(Fundamentals!$C$2:$C$6000,Fundamentals!$A$2:$A$6000,"&gt;="&amp;$B$4,Fundamentals!$A$2:$A$6000,"&lt;="&amp;$C$4,Fundamentals!$B$2:$B$6000,"TikTok")</f>
        <v/>
      </c>
      <c r="C16" s="65">
        <f>SUMIFS(Fundamentals!$K$2:$K$6000,Fundamentals!$A$2:$A$6000,"&gt;="&amp;$B$4,Fundamentals!$A$2:$A$6000,"&lt;="&amp;$C$4,Fundamentals!$B$2:$B$6000,"TikTok")</f>
        <v/>
      </c>
      <c r="D16" s="66">
        <f>IFERROR(C16/B16,0)</f>
        <v/>
      </c>
      <c r="E16" s="67">
        <f>SUMIFS(Fundamentals!$J$2:$J$6000,Fundamentals!$A$2:$A$6000,"&gt;="&amp;$B$4,Fundamentals!$A$2:$A$6000,"&lt;="&amp;$C$4,Fundamentals!$B$2:$B$6000,"TikTok")</f>
        <v/>
      </c>
      <c r="F16" s="65">
        <f>IFERROR(B16/E16,0)</f>
        <v/>
      </c>
      <c r="G16" s="68">
        <f>IFERROR(B16/$B$17,0)</f>
        <v/>
      </c>
      <c r="H16" s="69">
        <f>REPT("█",ROUND(14*IFERROR(B16/$B$17,0),0))</f>
        <v/>
      </c>
    </row>
    <row r="17">
      <c r="A17" s="43" t="inlineStr">
        <is>
          <t>Total</t>
        </is>
      </c>
      <c r="B17" s="70">
        <f>SUM(B15:B16)</f>
        <v/>
      </c>
      <c r="C17" s="70">
        <f>SUM(C15:C16)</f>
        <v/>
      </c>
      <c r="D17" s="71">
        <f>IFERROR(C17/B17,0)</f>
        <v/>
      </c>
      <c r="E17" s="72">
        <f>SUM(E15:E16)</f>
        <v/>
      </c>
      <c r="F17" s="70">
        <f>IFERROR(B17/E17,0)</f>
        <v/>
      </c>
      <c r="G17" s="73">
        <f>IFERROR(B17/B17,0)</f>
        <v/>
      </c>
      <c r="H17" s="74" t="inlineStr"/>
    </row>
    <row r="19" ht="22" customHeight="1">
      <c r="A19" s="3" t="inlineStr">
        <is>
          <t xml:space="preserve">  THE FUNNEL  —  combined Meta + TikTok</t>
        </is>
      </c>
      <c r="B19" s="4" t="n"/>
      <c r="C19" s="4" t="n"/>
      <c r="D19" s="4" t="n"/>
      <c r="E19" s="4" t="n"/>
      <c r="F19" s="4" t="n"/>
      <c r="G19" s="4" t="n"/>
      <c r="H19" s="4" t="n"/>
    </row>
    <row r="20">
      <c r="A20" s="63" t="inlineStr">
        <is>
          <t>Step</t>
        </is>
      </c>
      <c r="B20" s="64" t="inlineStr">
        <is>
          <t>Count</t>
        </is>
      </c>
      <c r="C20" s="64" t="inlineStr">
        <is>
          <t>Step rate</t>
        </is>
      </c>
      <c r="D20" s="64" t="inlineStr">
        <is>
          <t>Target</t>
        </is>
      </c>
      <c r="E20" s="64" t="inlineStr">
        <is>
          <t>Status</t>
        </is>
      </c>
      <c r="F20" s="64" t="inlineStr">
        <is>
          <t>Bar</t>
        </is>
      </c>
      <c r="G20" s="64" t="inlineStr"/>
      <c r="H20" s="64" t="inlineStr"/>
    </row>
    <row r="21">
      <c r="A21" s="32" t="inlineStr">
        <is>
          <t>Impressions</t>
        </is>
      </c>
      <c r="B21" s="67">
        <f>'KPI Calc'!B10</f>
        <v/>
      </c>
      <c r="C21" s="75" t="n"/>
      <c r="D21" s="75" t="n"/>
      <c r="E21" s="75" t="n"/>
      <c r="F21" s="75" t="n"/>
    </row>
    <row r="22">
      <c r="A22" s="32" t="inlineStr">
        <is>
          <t>Clicks</t>
        </is>
      </c>
      <c r="B22" s="67">
        <f>'KPI Calc'!B12</f>
        <v/>
      </c>
      <c r="C22" s="68">
        <f>'KPI Calc'!B21</f>
        <v/>
      </c>
      <c r="D22" s="76">
        <f>Benchmarks!$E$9</f>
        <v/>
      </c>
      <c r="E22" s="36">
        <f>IFERROR(INDEX(Benchmarks!$G$7:$G$21,3),"")</f>
        <v/>
      </c>
      <c r="F22" s="69">
        <f>REPT("█",ROUND(20*IFERROR(C22,0),0))</f>
        <v/>
      </c>
    </row>
    <row r="23">
      <c r="A23" s="32" t="inlineStr">
        <is>
          <t>Add to cart</t>
        </is>
      </c>
      <c r="B23" s="67">
        <f>'KPI Calc'!B14</f>
        <v/>
      </c>
      <c r="C23" s="68">
        <f>'KPI Calc'!B23</f>
        <v/>
      </c>
      <c r="D23" s="76">
        <f>Benchmarks!$E$11</f>
        <v/>
      </c>
      <c r="E23" s="36">
        <f>IFERROR(INDEX(Benchmarks!$G$7:$G$21,5),"")</f>
        <v/>
      </c>
      <c r="F23" s="69">
        <f>REPT("█",ROUND(20*IFERROR(C23,0),0))</f>
        <v/>
      </c>
    </row>
    <row r="24">
      <c r="A24" s="32" t="inlineStr">
        <is>
          <t>Initiate checkout</t>
        </is>
      </c>
      <c r="B24" s="67">
        <f>'KPI Calc'!B15</f>
        <v/>
      </c>
      <c r="C24" s="68">
        <f>'KPI Calc'!B24</f>
        <v/>
      </c>
      <c r="D24" s="76">
        <f>Benchmarks!$E$12</f>
        <v/>
      </c>
      <c r="E24" s="36">
        <f>IFERROR(INDEX(Benchmarks!$G$7:$G$21,6),"")</f>
        <v/>
      </c>
      <c r="F24" s="69">
        <f>REPT("█",ROUND(20*IFERROR(C24,0),0))</f>
        <v/>
      </c>
    </row>
    <row r="25">
      <c r="A25" s="32" t="inlineStr">
        <is>
          <t>Purchases</t>
        </is>
      </c>
      <c r="B25" s="67">
        <f>'KPI Calc'!B16</f>
        <v/>
      </c>
      <c r="C25" s="68">
        <f>'KPI Calc'!B25</f>
        <v/>
      </c>
      <c r="D25" s="76">
        <f>Benchmarks!$E$13</f>
        <v/>
      </c>
      <c r="E25" s="36">
        <f>IFERROR(INDEX(Benchmarks!$G$7:$G$21,7),"")</f>
        <v/>
      </c>
      <c r="F25" s="69">
        <f>REPT("█",ROUND(20*IFERROR(C25,0),0))</f>
        <v/>
      </c>
    </row>
    <row r="26">
      <c r="A26" s="27" t="inlineStr">
        <is>
          <t>Meta click → landing page</t>
        </is>
      </c>
      <c r="B26" s="77">
        <f>SUMIFS(Fundamentals!$G$2:$G$6000,Fundamentals!$A$2:$A$6000,"&gt;="&amp;$B$4,Fundamentals!$A$2:$A$6000,"&lt;="&amp;$C$4)</f>
        <v/>
      </c>
      <c r="C26" s="78">
        <f>'KPI Calc'!B27</f>
        <v/>
      </c>
      <c r="D26" s="76">
        <f>Benchmarks!$E$10</f>
        <v/>
      </c>
      <c r="E26" s="36">
        <f>IFERROR(INDEX(Benchmarks!$G$7:$G$21,4),"")</f>
        <v/>
      </c>
      <c r="F26" s="69">
        <f>REPT("█",ROUND(20*IFERROR(C26,0),0))</f>
        <v/>
      </c>
      <c r="G26" s="79" t="inlineStr">
        <is>
          <t>Meta only — TikTok doesn't report landing page views</t>
        </is>
      </c>
    </row>
    <row r="28" ht="22" customHeight="1">
      <c r="A28" s="3" t="inlineStr">
        <is>
          <t xml:space="preserve">  WHAT TO SAY  —  generated from this period's numbers. Edit before you send.</t>
        </is>
      </c>
      <c r="B28" s="4" t="n"/>
      <c r="C28" s="4" t="n"/>
      <c r="D28" s="4" t="n"/>
      <c r="E28" s="4" t="n"/>
      <c r="F28" s="4" t="n"/>
      <c r="G28" s="4" t="n"/>
      <c r="H28" s="4" t="n"/>
    </row>
    <row r="29" ht="32" customHeight="1">
      <c r="A29" s="80">
        <f>"Headline: we spent "&amp;TEXT(ROUND('KPI Calc'!B9,0),"#,##0")&amp;" and returned "&amp;TEXT(ROUND('KPI Calc'!B17,0),"#,##0")&amp;" ("&amp;ROUND('KPI Calc'!B30,2)&amp;"x). "&amp;IF('KPI Calc'!B30&gt;='KPI Calc'!B35,"That is above the "&amp;ROUND('KPI Calc'!B35,2)&amp;"x breakeven, so media paid for itself this period.","That is below the "&amp;ROUND('KPI Calc'!B35,2)&amp;"x breakeven — media did not pay for itself this period and we need to talk about that directly.")</f>
        <v/>
      </c>
      <c r="B29" s="54" t="n"/>
      <c r="C29" s="54" t="n"/>
      <c r="D29" s="54" t="n"/>
      <c r="E29" s="54" t="n"/>
      <c r="F29" s="54" t="n"/>
      <c r="G29" s="54" t="n"/>
      <c r="H29" s="54" t="n"/>
    </row>
    <row r="30" ht="32" customHeight="1">
      <c r="A30" s="80">
        <f>"Movement: spend "&amp;IF('KPI Calc'!E9&gt;=0,"up","down")&amp;" "&amp;TEXT(ABS('KPI Calc'!E9),"0%")&amp;" while revenue "&amp;IF('KPI Calc'!E17&gt;=0,"rose","fell")&amp;" "&amp;TEXT(ABS('KPI Calc'!E17),"0%")&amp;", so ROAS "&amp;IF('KPI Calc'!B30&gt;='KPI Calc'!C30,"improved","slipped")&amp;" from "&amp;ROUND('KPI Calc'!C30,2)&amp;"x to "&amp;ROUND('KPI Calc'!B30,2)&amp;"x. Costs per thousand impressions went from "&amp;TEXT(ROUND('KPI Calc'!C19,0),"#,##0")&amp;" to "&amp;TEXT(ROUND('KPI Calc'!B19,0),"#,##0")&amp;".",</f>
        <v/>
      </c>
      <c r="B30" s="54" t="n"/>
      <c r="C30" s="54" t="n"/>
      <c r="D30" s="54" t="n"/>
      <c r="E30" s="54" t="n"/>
      <c r="F30" s="54" t="n"/>
      <c r="G30" s="54" t="n"/>
      <c r="H30" s="54" t="n"/>
    </row>
    <row r="31" ht="32" customHeight="1">
      <c r="A31" s="80">
        <f>"Where the money went: "&amp;TEXT('Dashboard'!G15,"0%")&amp;" of budget on Meta returning "&amp;ROUND('Dashboard'!D15,2)&amp;"x, and "&amp;TEXT('Dashboard'!G16,"0%")&amp;" on TikTok returning "&amp;ROUND('Dashboard'!D16,2)&amp;"x. "&amp;IF('Dashboard'!D15&gt;'Dashboard'!D16,"Meta is the more efficient channel this period.","TikTok is the more efficient channel this period.")</f>
        <v/>
      </c>
      <c r="B31" s="54" t="n"/>
      <c r="C31" s="54" t="n"/>
      <c r="D31" s="54" t="n"/>
      <c r="E31" s="54" t="n"/>
      <c r="F31" s="54" t="n"/>
      <c r="G31" s="54" t="n"/>
      <c r="H31" s="54" t="n"/>
    </row>
    <row r="32" ht="32" customHeight="1">
      <c r="A32" s="80">
        <f>"Efficiency read: CPM "&amp;TEXT(ROUND('KPI Calc'!B19,0),"#,##0")&amp;", CTR "&amp;TEXT('KPI Calc'!B21,"0.00%")&amp;", click-to-purchase "&amp;TEXT('KPI Calc'!B26,"0.00%")&amp;", AOV "&amp;TEXT(ROUND('KPI Calc'!B29,0),"#,##0")&amp;". Frequency is "&amp;ROUND('KPI Calc'!B22,2)&amp;", "&amp;IF('KPI Calc'!B22&gt;3.5,"which is high enough that creative fatigue is now a budget risk — fresh assets before we scale.","which leaves room to add budget without hitting fatigue.")</f>
        <v/>
      </c>
      <c r="B32" s="54" t="n"/>
      <c r="C32" s="54" t="n"/>
      <c r="D32" s="54" t="n"/>
      <c r="E32" s="54" t="n"/>
      <c r="F32" s="54" t="n"/>
      <c r="G32" s="54" t="n"/>
      <c r="H32" s="54" t="n"/>
    </row>
    <row r="33" ht="32" customHeight="1">
      <c r="A33" s="80">
        <f>"Cost per purchase is "&amp;TEXT(ROUND('KPI Calc'!B28,0),"#,##0")&amp;" against an AOV of "&amp;TEXT(ROUND('KPI Calc'!B29,0),"#,##0")&amp;". At a "&amp;TEXT('KPI Calc'!B33,"0.0%")&amp;" contribution margin, breakeven ROAS is "&amp;ROUND('KPI Calc'!B35,2)&amp;"x, and headroom before we hit it is roughly "&amp;TEXT(ROUND(MAX(0,'KPI Calc'!B17*'KPI Calc'!B33-'KPI Calc'!B9),0),"#,##0")&amp;" more in spend at today's efficiency.",</f>
        <v/>
      </c>
      <c r="B33" s="54" t="n"/>
      <c r="C33" s="54" t="n"/>
      <c r="D33" s="54" t="n"/>
      <c r="E33" s="54" t="n"/>
      <c r="F33" s="54" t="n"/>
      <c r="G33" s="54" t="n"/>
      <c r="H33" s="54" t="n"/>
    </row>
  </sheetData>
  <mergeCells count="37">
    <mergeCell ref="A30:H30"/>
    <mergeCell ref="C6:D6"/>
    <mergeCell ref="A11:B11"/>
    <mergeCell ref="G11:H11"/>
    <mergeCell ref="C5:D5"/>
    <mergeCell ref="E5:F5"/>
    <mergeCell ref="A1:H1"/>
    <mergeCell ref="A6:B6"/>
    <mergeCell ref="C10:D10"/>
    <mergeCell ref="A7:B7"/>
    <mergeCell ref="G7:H7"/>
    <mergeCell ref="E10:F10"/>
    <mergeCell ref="G10:H10"/>
    <mergeCell ref="G6:H6"/>
    <mergeCell ref="C9:D9"/>
    <mergeCell ref="E9:F9"/>
    <mergeCell ref="A3:H3"/>
    <mergeCell ref="E6:F6"/>
    <mergeCell ref="C11:D11"/>
    <mergeCell ref="A2:H2"/>
    <mergeCell ref="E11:F11"/>
    <mergeCell ref="A5:B5"/>
    <mergeCell ref="G5:H5"/>
    <mergeCell ref="A33:H33"/>
    <mergeCell ref="G14:H14"/>
    <mergeCell ref="A32:H32"/>
    <mergeCell ref="G26:H26"/>
    <mergeCell ref="C7:D7"/>
    <mergeCell ref="A29:H29"/>
    <mergeCell ref="E7:F7"/>
    <mergeCell ref="A10:B10"/>
    <mergeCell ref="A28:H28"/>
    <mergeCell ref="A13:H13"/>
    <mergeCell ref="A19:H19"/>
    <mergeCell ref="A9:B9"/>
    <mergeCell ref="G9:H9"/>
    <mergeCell ref="A31:H3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8"/>
  <sheetViews>
    <sheetView showGridLines="0" workbookViewId="0">
      <pane ySplit="5" topLeftCell="A6" activePane="bottomLeft" state="frozen"/>
      <selection pane="bottomLeft" activeCell="A1" sqref="A1"/>
    </sheetView>
  </sheetViews>
  <sheetFormatPr baseColWidth="8" defaultRowHeight="15"/>
  <cols>
    <col width="34" customWidth="1" min="1" max="1"/>
    <col width="10" customWidth="1" min="2" max="2"/>
    <col width="26" customWidth="1" min="3" max="3"/>
    <col width="22" customWidth="1" min="4" max="4"/>
    <col width="13" customWidth="1" min="5" max="5"/>
    <col width="12" customWidth="1" min="6" max="6"/>
    <col width="11" customWidth="1" min="7" max="7"/>
    <col width="10" customWidth="1" min="8" max="8"/>
    <col width="11" customWidth="1" min="9" max="9"/>
    <col width="13" customWidth="1" min="10" max="10"/>
    <col width="10" customWidth="1" min="11" max="11"/>
    <col width="12" customWidth="1" min="12" max="12"/>
    <col width="12" customWidth="1" min="13" max="13"/>
    <col width="40" customWidth="1" min="14" max="14"/>
  </cols>
  <sheetData>
    <row r="1" ht="26" customHeight="1">
      <c r="A1" s="23" t="inlineStr">
        <is>
          <t>Ad Performance</t>
        </is>
      </c>
    </row>
    <row r="2" ht="15" customHeight="1">
      <c r="A2" s="24" t="inlineStr">
        <is>
          <t>Ranked by spend. One row per ad name — edit column A when you paste your own data.</t>
        </is>
      </c>
    </row>
    <row r="3" ht="14" customHeight="1">
      <c r="A3" s="25" t="inlineStr">
        <is>
          <t>All amounts in EGP. Change the currency label on 'Start Here' after you copy this file.</t>
        </is>
      </c>
    </row>
    <row r="5">
      <c r="A5" s="63" t="inlineStr">
        <is>
          <t>Ad Name</t>
        </is>
      </c>
      <c r="B5" s="64" t="inlineStr">
        <is>
          <t>Platform</t>
        </is>
      </c>
      <c r="C5" s="63" t="inlineStr">
        <is>
          <t>Campaign</t>
        </is>
      </c>
      <c r="D5" s="63" t="inlineStr">
        <is>
          <t>Creative Key</t>
        </is>
      </c>
      <c r="E5" s="64" t="inlineStr">
        <is>
          <t>Spend</t>
        </is>
      </c>
      <c r="F5" s="64" t="inlineStr">
        <is>
          <t>Impressions</t>
        </is>
      </c>
      <c r="G5" s="64" t="inlineStr">
        <is>
          <t>Clicks</t>
        </is>
      </c>
      <c r="H5" s="64" t="inlineStr">
        <is>
          <t>CTR</t>
        </is>
      </c>
      <c r="I5" s="64" t="inlineStr">
        <is>
          <t>Purchases</t>
        </is>
      </c>
      <c r="J5" s="64" t="inlineStr">
        <is>
          <t>Revenue</t>
        </is>
      </c>
      <c r="K5" s="64" t="inlineStr">
        <is>
          <t>ROAS</t>
        </is>
      </c>
      <c r="L5" s="64" t="inlineStr">
        <is>
          <t>Cost / purchase</t>
        </is>
      </c>
      <c r="M5" s="64" t="inlineStr">
        <is>
          <t>AOV</t>
        </is>
      </c>
      <c r="N5" s="63" t="inlineStr">
        <is>
          <t>Verdict</t>
        </is>
      </c>
    </row>
    <row r="6">
      <c r="A6" s="17" t="inlineStr">
        <is>
          <t>VID | Founder story | v4</t>
        </is>
      </c>
      <c r="B6" s="81" t="inlineStr">
        <is>
          <t>Meta</t>
        </is>
      </c>
      <c r="C6" s="11" t="inlineStr">
        <is>
          <t>Prospecting | Broad | EG</t>
        </is>
      </c>
      <c r="D6" s="11" t="inlineStr">
        <is>
          <t>UGC-Founder</t>
        </is>
      </c>
      <c r="E6" s="82">
        <f>SUMIFS('Ad Data'!$G$2:$G$6000,'Ad Data'!$C$2:$C$6000,$A6,'Ad Data'!$A$2:$A$6000,"&gt;="&amp;'KPI Calc'!$B$4,'Ad Data'!$A$2:$A$6000,"&lt;="&amp;'KPI Calc'!$C$4)</f>
        <v/>
      </c>
      <c r="F6" s="77">
        <f>SUMIFS('Ad Data'!$H$2:$H$6000,'Ad Data'!$C$2:$C$6000,$A6,'Ad Data'!$A$2:$A$6000,"&gt;="&amp;'KPI Calc'!$B$4,'Ad Data'!$A$2:$A$6000,"&lt;="&amp;'KPI Calc'!$C$4)</f>
        <v/>
      </c>
      <c r="G6" s="77">
        <f>SUMIFS('Ad Data'!$I$2:$I$6000,'Ad Data'!$C$2:$C$6000,$A6,'Ad Data'!$A$2:$A$6000,"&gt;="&amp;'KPI Calc'!$B$4,'Ad Data'!$A$2:$A$6000,"&lt;="&amp;'KPI Calc'!$C$4)</f>
        <v/>
      </c>
      <c r="H6" s="78">
        <f>IFERROR(G6/F6,0)</f>
        <v/>
      </c>
      <c r="I6" s="77">
        <f>SUMIFS('Ad Data'!$J$2:$J$6000,'Ad Data'!$C$2:$C$6000,$A6,'Ad Data'!$A$2:$A$6000,"&gt;="&amp;'KPI Calc'!$B$4,'Ad Data'!$A$2:$A$6000,"&lt;="&amp;'KPI Calc'!$C$4)</f>
        <v/>
      </c>
      <c r="J6" s="82">
        <f>SUMIFS('Ad Data'!$K$2:$K$6000,'Ad Data'!$C$2:$C$6000,$A6,'Ad Data'!$A$2:$A$6000,"&gt;="&amp;'KPI Calc'!$B$4,'Ad Data'!$A$2:$A$6000,"&lt;="&amp;'KPI Calc'!$C$4)</f>
        <v/>
      </c>
      <c r="K6" s="66">
        <f>IFERROR(J6/E6,0)</f>
        <v/>
      </c>
      <c r="L6" s="82">
        <f>IFERROR(E6/I6,0)</f>
        <v/>
      </c>
      <c r="M6" s="82">
        <f>IFERROR(J6/I6,0)</f>
        <v/>
      </c>
      <c r="N6" s="11">
        <f>IF(E6=0,"No spend in period",IF(K6&gt;=MAX('KPI Calc'!$B$35*1.3,0.01),"Scale — put more budget here",IF(K6&gt;='KPI Calc'!$B$35,"Working — maintain and refresh creative","Below breakeven — fix the page or cut it")))</f>
        <v/>
      </c>
    </row>
    <row r="7">
      <c r="A7" s="17" t="inlineStr">
        <is>
          <t>STATIC | Bundle offer | v2</t>
        </is>
      </c>
      <c r="B7" s="81" t="inlineStr">
        <is>
          <t>Meta</t>
        </is>
      </c>
      <c r="C7" s="11" t="inlineStr">
        <is>
          <t>Prospecting | Broad | EG</t>
        </is>
      </c>
      <c r="D7" s="11" t="inlineStr">
        <is>
          <t>Static-Bundle</t>
        </is>
      </c>
      <c r="E7" s="82">
        <f>SUMIFS('Ad Data'!$G$2:$G$6000,'Ad Data'!$C$2:$C$6000,$A7,'Ad Data'!$A$2:$A$6000,"&gt;="&amp;'KPI Calc'!$B$4,'Ad Data'!$A$2:$A$6000,"&lt;="&amp;'KPI Calc'!$C$4)</f>
        <v/>
      </c>
      <c r="F7" s="77">
        <f>SUMIFS('Ad Data'!$H$2:$H$6000,'Ad Data'!$C$2:$C$6000,$A7,'Ad Data'!$A$2:$A$6000,"&gt;="&amp;'KPI Calc'!$B$4,'Ad Data'!$A$2:$A$6000,"&lt;="&amp;'KPI Calc'!$C$4)</f>
        <v/>
      </c>
      <c r="G7" s="77">
        <f>SUMIFS('Ad Data'!$I$2:$I$6000,'Ad Data'!$C$2:$C$6000,$A7,'Ad Data'!$A$2:$A$6000,"&gt;="&amp;'KPI Calc'!$B$4,'Ad Data'!$A$2:$A$6000,"&lt;="&amp;'KPI Calc'!$C$4)</f>
        <v/>
      </c>
      <c r="H7" s="78">
        <f>IFERROR(G7/F7,0)</f>
        <v/>
      </c>
      <c r="I7" s="77">
        <f>SUMIFS('Ad Data'!$J$2:$J$6000,'Ad Data'!$C$2:$C$6000,$A7,'Ad Data'!$A$2:$A$6000,"&gt;="&amp;'KPI Calc'!$B$4,'Ad Data'!$A$2:$A$6000,"&lt;="&amp;'KPI Calc'!$C$4)</f>
        <v/>
      </c>
      <c r="J7" s="82">
        <f>SUMIFS('Ad Data'!$K$2:$K$6000,'Ad Data'!$C$2:$C$6000,$A7,'Ad Data'!$A$2:$A$6000,"&gt;="&amp;'KPI Calc'!$B$4,'Ad Data'!$A$2:$A$6000,"&lt;="&amp;'KPI Calc'!$C$4)</f>
        <v/>
      </c>
      <c r="K7" s="66">
        <f>IFERROR(J7/E7,0)</f>
        <v/>
      </c>
      <c r="L7" s="82">
        <f>IFERROR(E7/I7,0)</f>
        <v/>
      </c>
      <c r="M7" s="82">
        <f>IFERROR(J7/I7,0)</f>
        <v/>
      </c>
      <c r="N7" s="11">
        <f>IF(E7=0,"No spend in period",IF(K7&gt;=MAX('KPI Calc'!$B$35*1.3,0.01),"Scale — put more budget here",IF(K7&gt;='KPI Calc'!$B$35,"Working — maintain and refresh creative","Below breakeven — fix the page or cut it")))</f>
        <v/>
      </c>
    </row>
    <row r="8">
      <c r="A8" s="17" t="inlineStr">
        <is>
          <t>VID | Founder story | v3</t>
        </is>
      </c>
      <c r="B8" s="81" t="inlineStr">
        <is>
          <t>Meta</t>
        </is>
      </c>
      <c r="C8" s="11" t="inlineStr">
        <is>
          <t>Prospecting | Broad | EG</t>
        </is>
      </c>
      <c r="D8" s="11" t="inlineStr">
        <is>
          <t>UGC-Founder</t>
        </is>
      </c>
      <c r="E8" s="82">
        <f>SUMIFS('Ad Data'!$G$2:$G$6000,'Ad Data'!$C$2:$C$6000,$A8,'Ad Data'!$A$2:$A$6000,"&gt;="&amp;'KPI Calc'!$B$4,'Ad Data'!$A$2:$A$6000,"&lt;="&amp;'KPI Calc'!$C$4)</f>
        <v/>
      </c>
      <c r="F8" s="77">
        <f>SUMIFS('Ad Data'!$H$2:$H$6000,'Ad Data'!$C$2:$C$6000,$A8,'Ad Data'!$A$2:$A$6000,"&gt;="&amp;'KPI Calc'!$B$4,'Ad Data'!$A$2:$A$6000,"&lt;="&amp;'KPI Calc'!$C$4)</f>
        <v/>
      </c>
      <c r="G8" s="77">
        <f>SUMIFS('Ad Data'!$I$2:$I$6000,'Ad Data'!$C$2:$C$6000,$A8,'Ad Data'!$A$2:$A$6000,"&gt;="&amp;'KPI Calc'!$B$4,'Ad Data'!$A$2:$A$6000,"&lt;="&amp;'KPI Calc'!$C$4)</f>
        <v/>
      </c>
      <c r="H8" s="78">
        <f>IFERROR(G8/F8,0)</f>
        <v/>
      </c>
      <c r="I8" s="77">
        <f>SUMIFS('Ad Data'!$J$2:$J$6000,'Ad Data'!$C$2:$C$6000,$A8,'Ad Data'!$A$2:$A$6000,"&gt;="&amp;'KPI Calc'!$B$4,'Ad Data'!$A$2:$A$6000,"&lt;="&amp;'KPI Calc'!$C$4)</f>
        <v/>
      </c>
      <c r="J8" s="82">
        <f>SUMIFS('Ad Data'!$K$2:$K$6000,'Ad Data'!$C$2:$C$6000,$A8,'Ad Data'!$A$2:$A$6000,"&gt;="&amp;'KPI Calc'!$B$4,'Ad Data'!$A$2:$A$6000,"&lt;="&amp;'KPI Calc'!$C$4)</f>
        <v/>
      </c>
      <c r="K8" s="66">
        <f>IFERROR(J8/E8,0)</f>
        <v/>
      </c>
      <c r="L8" s="82">
        <f>IFERROR(E8/I8,0)</f>
        <v/>
      </c>
      <c r="M8" s="82">
        <f>IFERROR(J8/I8,0)</f>
        <v/>
      </c>
      <c r="N8" s="11">
        <f>IF(E8=0,"No spend in period",IF(K8&gt;=MAX('KPI Calc'!$B$35*1.3,0.01),"Scale — put more budget here",IF(K8&gt;='KPI Calc'!$B$35,"Working — maintain and refresh creative","Below breakeven — fix the page or cut it")))</f>
        <v/>
      </c>
    </row>
    <row r="9">
      <c r="A9" s="17" t="inlineStr">
        <is>
          <t>VID | Review compilation | v1</t>
        </is>
      </c>
      <c r="B9" s="81" t="inlineStr">
        <is>
          <t>Meta</t>
        </is>
      </c>
      <c r="C9" s="11" t="inlineStr">
        <is>
          <t>Prospecting | Interest | EG</t>
        </is>
      </c>
      <c r="D9" s="11" t="inlineStr">
        <is>
          <t>UGC-Reviews</t>
        </is>
      </c>
      <c r="E9" s="82">
        <f>SUMIFS('Ad Data'!$G$2:$G$6000,'Ad Data'!$C$2:$C$6000,$A9,'Ad Data'!$A$2:$A$6000,"&gt;="&amp;'KPI Calc'!$B$4,'Ad Data'!$A$2:$A$6000,"&lt;="&amp;'KPI Calc'!$C$4)</f>
        <v/>
      </c>
      <c r="F9" s="77">
        <f>SUMIFS('Ad Data'!$H$2:$H$6000,'Ad Data'!$C$2:$C$6000,$A9,'Ad Data'!$A$2:$A$6000,"&gt;="&amp;'KPI Calc'!$B$4,'Ad Data'!$A$2:$A$6000,"&lt;="&amp;'KPI Calc'!$C$4)</f>
        <v/>
      </c>
      <c r="G9" s="77">
        <f>SUMIFS('Ad Data'!$I$2:$I$6000,'Ad Data'!$C$2:$C$6000,$A9,'Ad Data'!$A$2:$A$6000,"&gt;="&amp;'KPI Calc'!$B$4,'Ad Data'!$A$2:$A$6000,"&lt;="&amp;'KPI Calc'!$C$4)</f>
        <v/>
      </c>
      <c r="H9" s="78">
        <f>IFERROR(G9/F9,0)</f>
        <v/>
      </c>
      <c r="I9" s="77">
        <f>SUMIFS('Ad Data'!$J$2:$J$6000,'Ad Data'!$C$2:$C$6000,$A9,'Ad Data'!$A$2:$A$6000,"&gt;="&amp;'KPI Calc'!$B$4,'Ad Data'!$A$2:$A$6000,"&lt;="&amp;'KPI Calc'!$C$4)</f>
        <v/>
      </c>
      <c r="J9" s="82">
        <f>SUMIFS('Ad Data'!$K$2:$K$6000,'Ad Data'!$C$2:$C$6000,$A9,'Ad Data'!$A$2:$A$6000,"&gt;="&amp;'KPI Calc'!$B$4,'Ad Data'!$A$2:$A$6000,"&lt;="&amp;'KPI Calc'!$C$4)</f>
        <v/>
      </c>
      <c r="K9" s="66">
        <f>IFERROR(J9/E9,0)</f>
        <v/>
      </c>
      <c r="L9" s="82">
        <f>IFERROR(E9/I9,0)</f>
        <v/>
      </c>
      <c r="M9" s="82">
        <f>IFERROR(J9/I9,0)</f>
        <v/>
      </c>
      <c r="N9" s="11">
        <f>IF(E9=0,"No spend in period",IF(K9&gt;=MAX('KPI Calc'!$B$35*1.3,0.01),"Scale — put more budget here",IF(K9&gt;='KPI Calc'!$B$35,"Working — maintain and refresh creative","Below breakeven — fix the page or cut it")))</f>
        <v/>
      </c>
    </row>
    <row r="10">
      <c r="A10" s="17" t="inlineStr">
        <is>
          <t>STATIC | Bundle offer | v1</t>
        </is>
      </c>
      <c r="B10" s="81" t="inlineStr">
        <is>
          <t>Meta</t>
        </is>
      </c>
      <c r="C10" s="11" t="inlineStr">
        <is>
          <t>Test | Broad | EG</t>
        </is>
      </c>
      <c r="D10" s="11" t="inlineStr">
        <is>
          <t>Static-Bundle</t>
        </is>
      </c>
      <c r="E10" s="82">
        <f>SUMIFS('Ad Data'!$G$2:$G$6000,'Ad Data'!$C$2:$C$6000,$A10,'Ad Data'!$A$2:$A$6000,"&gt;="&amp;'KPI Calc'!$B$4,'Ad Data'!$A$2:$A$6000,"&lt;="&amp;'KPI Calc'!$C$4)</f>
        <v/>
      </c>
      <c r="F10" s="77">
        <f>SUMIFS('Ad Data'!$H$2:$H$6000,'Ad Data'!$C$2:$C$6000,$A10,'Ad Data'!$A$2:$A$6000,"&gt;="&amp;'KPI Calc'!$B$4,'Ad Data'!$A$2:$A$6000,"&lt;="&amp;'KPI Calc'!$C$4)</f>
        <v/>
      </c>
      <c r="G10" s="77">
        <f>SUMIFS('Ad Data'!$I$2:$I$6000,'Ad Data'!$C$2:$C$6000,$A10,'Ad Data'!$A$2:$A$6000,"&gt;="&amp;'KPI Calc'!$B$4,'Ad Data'!$A$2:$A$6000,"&lt;="&amp;'KPI Calc'!$C$4)</f>
        <v/>
      </c>
      <c r="H10" s="78">
        <f>IFERROR(G10/F10,0)</f>
        <v/>
      </c>
      <c r="I10" s="77">
        <f>SUMIFS('Ad Data'!$J$2:$J$6000,'Ad Data'!$C$2:$C$6000,$A10,'Ad Data'!$A$2:$A$6000,"&gt;="&amp;'KPI Calc'!$B$4,'Ad Data'!$A$2:$A$6000,"&lt;="&amp;'KPI Calc'!$C$4)</f>
        <v/>
      </c>
      <c r="J10" s="82">
        <f>SUMIFS('Ad Data'!$K$2:$K$6000,'Ad Data'!$C$2:$C$6000,$A10,'Ad Data'!$A$2:$A$6000,"&gt;="&amp;'KPI Calc'!$B$4,'Ad Data'!$A$2:$A$6000,"&lt;="&amp;'KPI Calc'!$C$4)</f>
        <v/>
      </c>
      <c r="K10" s="66">
        <f>IFERROR(J10/E10,0)</f>
        <v/>
      </c>
      <c r="L10" s="82">
        <f>IFERROR(E10/I10,0)</f>
        <v/>
      </c>
      <c r="M10" s="82">
        <f>IFERROR(J10/I10,0)</f>
        <v/>
      </c>
      <c r="N10" s="11">
        <f>IF(E10=0,"No spend in period",IF(K10&gt;=MAX('KPI Calc'!$B$35*1.3,0.01),"Scale — put more budget here",IF(K10&gt;='KPI Calc'!$B$35,"Working — maintain and refresh creative","Below breakeven — fix the page or cut it")))</f>
        <v/>
      </c>
    </row>
    <row r="11">
      <c r="A11" s="17" t="inlineStr">
        <is>
          <t>STATIC | Discount 20% | v1</t>
        </is>
      </c>
      <c r="B11" s="81" t="inlineStr">
        <is>
          <t>Meta</t>
        </is>
      </c>
      <c r="C11" s="11" t="inlineStr">
        <is>
          <t>Retargeting | 7d IC</t>
        </is>
      </c>
      <c r="D11" s="11" t="inlineStr">
        <is>
          <t>Static-Discount</t>
        </is>
      </c>
      <c r="E11" s="82">
        <f>SUMIFS('Ad Data'!$G$2:$G$6000,'Ad Data'!$C$2:$C$6000,$A11,'Ad Data'!$A$2:$A$6000,"&gt;="&amp;'KPI Calc'!$B$4,'Ad Data'!$A$2:$A$6000,"&lt;="&amp;'KPI Calc'!$C$4)</f>
        <v/>
      </c>
      <c r="F11" s="77">
        <f>SUMIFS('Ad Data'!$H$2:$H$6000,'Ad Data'!$C$2:$C$6000,$A11,'Ad Data'!$A$2:$A$6000,"&gt;="&amp;'KPI Calc'!$B$4,'Ad Data'!$A$2:$A$6000,"&lt;="&amp;'KPI Calc'!$C$4)</f>
        <v/>
      </c>
      <c r="G11" s="77">
        <f>SUMIFS('Ad Data'!$I$2:$I$6000,'Ad Data'!$C$2:$C$6000,$A11,'Ad Data'!$A$2:$A$6000,"&gt;="&amp;'KPI Calc'!$B$4,'Ad Data'!$A$2:$A$6000,"&lt;="&amp;'KPI Calc'!$C$4)</f>
        <v/>
      </c>
      <c r="H11" s="78">
        <f>IFERROR(G11/F11,0)</f>
        <v/>
      </c>
      <c r="I11" s="77">
        <f>SUMIFS('Ad Data'!$J$2:$J$6000,'Ad Data'!$C$2:$C$6000,$A11,'Ad Data'!$A$2:$A$6000,"&gt;="&amp;'KPI Calc'!$B$4,'Ad Data'!$A$2:$A$6000,"&lt;="&amp;'KPI Calc'!$C$4)</f>
        <v/>
      </c>
      <c r="J11" s="82">
        <f>SUMIFS('Ad Data'!$K$2:$K$6000,'Ad Data'!$C$2:$C$6000,$A11,'Ad Data'!$A$2:$A$6000,"&gt;="&amp;'KPI Calc'!$B$4,'Ad Data'!$A$2:$A$6000,"&lt;="&amp;'KPI Calc'!$C$4)</f>
        <v/>
      </c>
      <c r="K11" s="66">
        <f>IFERROR(J11/E11,0)</f>
        <v/>
      </c>
      <c r="L11" s="82">
        <f>IFERROR(E11/I11,0)</f>
        <v/>
      </c>
      <c r="M11" s="82">
        <f>IFERROR(J11/I11,0)</f>
        <v/>
      </c>
      <c r="N11" s="11">
        <f>IF(E11=0,"No spend in period",IF(K11&gt;=MAX('KPI Calc'!$B$35*1.3,0.01),"Scale — put more budget here",IF(K11&gt;='KPI Calc'!$B$35,"Working — maintain and refresh creative","Below breakeven — fix the page or cut it")))</f>
        <v/>
      </c>
    </row>
    <row r="12">
      <c r="A12" s="17" t="inlineStr">
        <is>
          <t>CAROUSEL | Best sellers</t>
        </is>
      </c>
      <c r="B12" s="81" t="inlineStr">
        <is>
          <t>Meta</t>
        </is>
      </c>
      <c r="C12" s="11" t="inlineStr">
        <is>
          <t>Retargeting | 14d ATC</t>
        </is>
      </c>
      <c r="D12" s="11" t="inlineStr">
        <is>
          <t>Carousel-Bestsellers</t>
        </is>
      </c>
      <c r="E12" s="82">
        <f>SUMIFS('Ad Data'!$G$2:$G$6000,'Ad Data'!$C$2:$C$6000,$A12,'Ad Data'!$A$2:$A$6000,"&gt;="&amp;'KPI Calc'!$B$4,'Ad Data'!$A$2:$A$6000,"&lt;="&amp;'KPI Calc'!$C$4)</f>
        <v/>
      </c>
      <c r="F12" s="77">
        <f>SUMIFS('Ad Data'!$H$2:$H$6000,'Ad Data'!$C$2:$C$6000,$A12,'Ad Data'!$A$2:$A$6000,"&gt;="&amp;'KPI Calc'!$B$4,'Ad Data'!$A$2:$A$6000,"&lt;="&amp;'KPI Calc'!$C$4)</f>
        <v/>
      </c>
      <c r="G12" s="77">
        <f>SUMIFS('Ad Data'!$I$2:$I$6000,'Ad Data'!$C$2:$C$6000,$A12,'Ad Data'!$A$2:$A$6000,"&gt;="&amp;'KPI Calc'!$B$4,'Ad Data'!$A$2:$A$6000,"&lt;="&amp;'KPI Calc'!$C$4)</f>
        <v/>
      </c>
      <c r="H12" s="78">
        <f>IFERROR(G12/F12,0)</f>
        <v/>
      </c>
      <c r="I12" s="77">
        <f>SUMIFS('Ad Data'!$J$2:$J$6000,'Ad Data'!$C$2:$C$6000,$A12,'Ad Data'!$A$2:$A$6000,"&gt;="&amp;'KPI Calc'!$B$4,'Ad Data'!$A$2:$A$6000,"&lt;="&amp;'KPI Calc'!$C$4)</f>
        <v/>
      </c>
      <c r="J12" s="82">
        <f>SUMIFS('Ad Data'!$K$2:$K$6000,'Ad Data'!$C$2:$C$6000,$A12,'Ad Data'!$A$2:$A$6000,"&gt;="&amp;'KPI Calc'!$B$4,'Ad Data'!$A$2:$A$6000,"&lt;="&amp;'KPI Calc'!$C$4)</f>
        <v/>
      </c>
      <c r="K12" s="66">
        <f>IFERROR(J12/E12,0)</f>
        <v/>
      </c>
      <c r="L12" s="82">
        <f>IFERROR(E12/I12,0)</f>
        <v/>
      </c>
      <c r="M12" s="82">
        <f>IFERROR(J12/I12,0)</f>
        <v/>
      </c>
      <c r="N12" s="11">
        <f>IF(E12=0,"No spend in period",IF(K12&gt;=MAX('KPI Calc'!$B$35*1.3,0.01),"Scale — put more budget here",IF(K12&gt;='KPI Calc'!$B$35,"Working — maintain and refresh creative","Below breakeven — fix the page or cut it")))</f>
        <v/>
      </c>
    </row>
    <row r="13">
      <c r="A13" s="17" t="inlineStr">
        <is>
          <t>VID | Founder story | v1</t>
        </is>
      </c>
      <c r="B13" s="81" t="inlineStr">
        <is>
          <t>Meta</t>
        </is>
      </c>
      <c r="C13" s="11" t="inlineStr">
        <is>
          <t>Prospecting | Broad | EG</t>
        </is>
      </c>
      <c r="D13" s="11" t="inlineStr">
        <is>
          <t>UGC-Founder</t>
        </is>
      </c>
      <c r="E13" s="82">
        <f>SUMIFS('Ad Data'!$G$2:$G$6000,'Ad Data'!$C$2:$C$6000,$A13,'Ad Data'!$A$2:$A$6000,"&gt;="&amp;'KPI Calc'!$B$4,'Ad Data'!$A$2:$A$6000,"&lt;="&amp;'KPI Calc'!$C$4)</f>
        <v/>
      </c>
      <c r="F13" s="77">
        <f>SUMIFS('Ad Data'!$H$2:$H$6000,'Ad Data'!$C$2:$C$6000,$A13,'Ad Data'!$A$2:$A$6000,"&gt;="&amp;'KPI Calc'!$B$4,'Ad Data'!$A$2:$A$6000,"&lt;="&amp;'KPI Calc'!$C$4)</f>
        <v/>
      </c>
      <c r="G13" s="77">
        <f>SUMIFS('Ad Data'!$I$2:$I$6000,'Ad Data'!$C$2:$C$6000,$A13,'Ad Data'!$A$2:$A$6000,"&gt;="&amp;'KPI Calc'!$B$4,'Ad Data'!$A$2:$A$6000,"&lt;="&amp;'KPI Calc'!$C$4)</f>
        <v/>
      </c>
      <c r="H13" s="78">
        <f>IFERROR(G13/F13,0)</f>
        <v/>
      </c>
      <c r="I13" s="77">
        <f>SUMIFS('Ad Data'!$J$2:$J$6000,'Ad Data'!$C$2:$C$6000,$A13,'Ad Data'!$A$2:$A$6000,"&gt;="&amp;'KPI Calc'!$B$4,'Ad Data'!$A$2:$A$6000,"&lt;="&amp;'KPI Calc'!$C$4)</f>
        <v/>
      </c>
      <c r="J13" s="82">
        <f>SUMIFS('Ad Data'!$K$2:$K$6000,'Ad Data'!$C$2:$C$6000,$A13,'Ad Data'!$A$2:$A$6000,"&gt;="&amp;'KPI Calc'!$B$4,'Ad Data'!$A$2:$A$6000,"&lt;="&amp;'KPI Calc'!$C$4)</f>
        <v/>
      </c>
      <c r="K13" s="66">
        <f>IFERROR(J13/E13,0)</f>
        <v/>
      </c>
      <c r="L13" s="82">
        <f>IFERROR(E13/I13,0)</f>
        <v/>
      </c>
      <c r="M13" s="82">
        <f>IFERROR(J13/I13,0)</f>
        <v/>
      </c>
      <c r="N13" s="11">
        <f>IF(E13=0,"No spend in period",IF(K13&gt;=MAX('KPI Calc'!$B$35*1.3,0.01),"Scale — put more budget here",IF(K13&gt;='KPI Calc'!$B$35,"Working — maintain and refresh creative","Below breakeven — fix the page or cut it")))</f>
        <v/>
      </c>
    </row>
    <row r="14">
      <c r="A14" s="17" t="inlineStr">
        <is>
          <t>UGC | Problem-solution | v2</t>
        </is>
      </c>
      <c r="B14" s="81" t="inlineStr">
        <is>
          <t>TikTok</t>
        </is>
      </c>
      <c r="C14" s="11" t="inlineStr">
        <is>
          <t>Prospecting | Broad | EG</t>
        </is>
      </c>
      <c r="D14" s="11" t="inlineStr">
        <is>
          <t>TT-UGC-ProbSol</t>
        </is>
      </c>
      <c r="E14" s="82">
        <f>SUMIFS('Ad Data'!$G$2:$G$6000,'Ad Data'!$C$2:$C$6000,$A14,'Ad Data'!$A$2:$A$6000,"&gt;="&amp;'KPI Calc'!$B$4,'Ad Data'!$A$2:$A$6000,"&lt;="&amp;'KPI Calc'!$C$4)</f>
        <v/>
      </c>
      <c r="F14" s="77">
        <f>SUMIFS('Ad Data'!$H$2:$H$6000,'Ad Data'!$C$2:$C$6000,$A14,'Ad Data'!$A$2:$A$6000,"&gt;="&amp;'KPI Calc'!$B$4,'Ad Data'!$A$2:$A$6000,"&lt;="&amp;'KPI Calc'!$C$4)</f>
        <v/>
      </c>
      <c r="G14" s="77">
        <f>SUMIFS('Ad Data'!$I$2:$I$6000,'Ad Data'!$C$2:$C$6000,$A14,'Ad Data'!$A$2:$A$6000,"&gt;="&amp;'KPI Calc'!$B$4,'Ad Data'!$A$2:$A$6000,"&lt;="&amp;'KPI Calc'!$C$4)</f>
        <v/>
      </c>
      <c r="H14" s="78">
        <f>IFERROR(G14/F14,0)</f>
        <v/>
      </c>
      <c r="I14" s="77">
        <f>SUMIFS('Ad Data'!$J$2:$J$6000,'Ad Data'!$C$2:$C$6000,$A14,'Ad Data'!$A$2:$A$6000,"&gt;="&amp;'KPI Calc'!$B$4,'Ad Data'!$A$2:$A$6000,"&lt;="&amp;'KPI Calc'!$C$4)</f>
        <v/>
      </c>
      <c r="J14" s="82">
        <f>SUMIFS('Ad Data'!$K$2:$K$6000,'Ad Data'!$C$2:$C$6000,$A14,'Ad Data'!$A$2:$A$6000,"&gt;="&amp;'KPI Calc'!$B$4,'Ad Data'!$A$2:$A$6000,"&lt;="&amp;'KPI Calc'!$C$4)</f>
        <v/>
      </c>
      <c r="K14" s="66">
        <f>IFERROR(J14/E14,0)</f>
        <v/>
      </c>
      <c r="L14" s="82">
        <f>IFERROR(E14/I14,0)</f>
        <v/>
      </c>
      <c r="M14" s="82">
        <f>IFERROR(J14/I14,0)</f>
        <v/>
      </c>
      <c r="N14" s="11">
        <f>IF(E14=0,"No spend in period",IF(K14&gt;=MAX('KPI Calc'!$B$35*1.3,0.01),"Scale — put more budget here",IF(K14&gt;='KPI Calc'!$B$35,"Working — maintain and refresh creative","Below breakeven — fix the page or cut it")))</f>
        <v/>
      </c>
    </row>
    <row r="15">
      <c r="A15" s="17" t="inlineStr">
        <is>
          <t>UGC | Trend audio | v1</t>
        </is>
      </c>
      <c r="B15" s="81" t="inlineStr">
        <is>
          <t>TikTok</t>
        </is>
      </c>
      <c r="C15" s="11" t="inlineStr">
        <is>
          <t>Prospecting | Broad | EG</t>
        </is>
      </c>
      <c r="D15" s="11" t="inlineStr">
        <is>
          <t>TT-UGC-Trend</t>
        </is>
      </c>
      <c r="E15" s="82">
        <f>SUMIFS('Ad Data'!$G$2:$G$6000,'Ad Data'!$C$2:$C$6000,$A15,'Ad Data'!$A$2:$A$6000,"&gt;="&amp;'KPI Calc'!$B$4,'Ad Data'!$A$2:$A$6000,"&lt;="&amp;'KPI Calc'!$C$4)</f>
        <v/>
      </c>
      <c r="F15" s="77">
        <f>SUMIFS('Ad Data'!$H$2:$H$6000,'Ad Data'!$C$2:$C$6000,$A15,'Ad Data'!$A$2:$A$6000,"&gt;="&amp;'KPI Calc'!$B$4,'Ad Data'!$A$2:$A$6000,"&lt;="&amp;'KPI Calc'!$C$4)</f>
        <v/>
      </c>
      <c r="G15" s="77">
        <f>SUMIFS('Ad Data'!$I$2:$I$6000,'Ad Data'!$C$2:$C$6000,$A15,'Ad Data'!$A$2:$A$6000,"&gt;="&amp;'KPI Calc'!$B$4,'Ad Data'!$A$2:$A$6000,"&lt;="&amp;'KPI Calc'!$C$4)</f>
        <v/>
      </c>
      <c r="H15" s="78">
        <f>IFERROR(G15/F15,0)</f>
        <v/>
      </c>
      <c r="I15" s="77">
        <f>SUMIFS('Ad Data'!$J$2:$J$6000,'Ad Data'!$C$2:$C$6000,$A15,'Ad Data'!$A$2:$A$6000,"&gt;="&amp;'KPI Calc'!$B$4,'Ad Data'!$A$2:$A$6000,"&lt;="&amp;'KPI Calc'!$C$4)</f>
        <v/>
      </c>
      <c r="J15" s="82">
        <f>SUMIFS('Ad Data'!$K$2:$K$6000,'Ad Data'!$C$2:$C$6000,$A15,'Ad Data'!$A$2:$A$6000,"&gt;="&amp;'KPI Calc'!$B$4,'Ad Data'!$A$2:$A$6000,"&lt;="&amp;'KPI Calc'!$C$4)</f>
        <v/>
      </c>
      <c r="K15" s="66">
        <f>IFERROR(J15/E15,0)</f>
        <v/>
      </c>
      <c r="L15" s="82">
        <f>IFERROR(E15/I15,0)</f>
        <v/>
      </c>
      <c r="M15" s="82">
        <f>IFERROR(J15/I15,0)</f>
        <v/>
      </c>
      <c r="N15" s="11">
        <f>IF(E15=0,"No spend in period",IF(K15&gt;=MAX('KPI Calc'!$B$35*1.3,0.01),"Scale — put more budget here",IF(K15&gt;='KPI Calc'!$B$35,"Working — maintain and refresh creative","Below breakeven — fix the page or cut it")))</f>
        <v/>
      </c>
    </row>
    <row r="16">
      <c r="A16" s="17" t="inlineStr">
        <is>
          <t>UGC | Trend audio | v2</t>
        </is>
      </c>
      <c r="B16" s="81" t="inlineStr">
        <is>
          <t>TikTok</t>
        </is>
      </c>
      <c r="C16" s="11" t="inlineStr">
        <is>
          <t>Prospecting | Broad | EG</t>
        </is>
      </c>
      <c r="D16" s="11" t="inlineStr">
        <is>
          <t>TT-UGC-Trend</t>
        </is>
      </c>
      <c r="E16" s="82">
        <f>SUMIFS('Ad Data'!$G$2:$G$6000,'Ad Data'!$C$2:$C$6000,$A16,'Ad Data'!$A$2:$A$6000,"&gt;="&amp;'KPI Calc'!$B$4,'Ad Data'!$A$2:$A$6000,"&lt;="&amp;'KPI Calc'!$C$4)</f>
        <v/>
      </c>
      <c r="F16" s="77">
        <f>SUMIFS('Ad Data'!$H$2:$H$6000,'Ad Data'!$C$2:$C$6000,$A16,'Ad Data'!$A$2:$A$6000,"&gt;="&amp;'KPI Calc'!$B$4,'Ad Data'!$A$2:$A$6000,"&lt;="&amp;'KPI Calc'!$C$4)</f>
        <v/>
      </c>
      <c r="G16" s="77">
        <f>SUMIFS('Ad Data'!$I$2:$I$6000,'Ad Data'!$C$2:$C$6000,$A16,'Ad Data'!$A$2:$A$6000,"&gt;="&amp;'KPI Calc'!$B$4,'Ad Data'!$A$2:$A$6000,"&lt;="&amp;'KPI Calc'!$C$4)</f>
        <v/>
      </c>
      <c r="H16" s="78">
        <f>IFERROR(G16/F16,0)</f>
        <v/>
      </c>
      <c r="I16" s="77">
        <f>SUMIFS('Ad Data'!$J$2:$J$6000,'Ad Data'!$C$2:$C$6000,$A16,'Ad Data'!$A$2:$A$6000,"&gt;="&amp;'KPI Calc'!$B$4,'Ad Data'!$A$2:$A$6000,"&lt;="&amp;'KPI Calc'!$C$4)</f>
        <v/>
      </c>
      <c r="J16" s="82">
        <f>SUMIFS('Ad Data'!$K$2:$K$6000,'Ad Data'!$C$2:$C$6000,$A16,'Ad Data'!$A$2:$A$6000,"&gt;="&amp;'KPI Calc'!$B$4,'Ad Data'!$A$2:$A$6000,"&lt;="&amp;'KPI Calc'!$C$4)</f>
        <v/>
      </c>
      <c r="K16" s="66">
        <f>IFERROR(J16/E16,0)</f>
        <v/>
      </c>
      <c r="L16" s="82">
        <f>IFERROR(E16/I16,0)</f>
        <v/>
      </c>
      <c r="M16" s="82">
        <f>IFERROR(J16/I16,0)</f>
        <v/>
      </c>
      <c r="N16" s="11">
        <f>IF(E16=0,"No spend in period",IF(K16&gt;=MAX('KPI Calc'!$B$35*1.3,0.01),"Scale — put more budget here",IF(K16&gt;='KPI Calc'!$B$35,"Working — maintain and refresh creative","Below breakeven — fix the page or cut it")))</f>
        <v/>
      </c>
    </row>
    <row r="17">
      <c r="A17" s="17" t="inlineStr">
        <is>
          <t>Spark ad | Creator A</t>
        </is>
      </c>
      <c r="B17" s="81" t="inlineStr">
        <is>
          <t>TikTok</t>
        </is>
      </c>
      <c r="C17" s="11" t="inlineStr">
        <is>
          <t>Spark | Creator A</t>
        </is>
      </c>
      <c r="D17" s="11" t="inlineStr">
        <is>
          <t>TT-Spark-CreatorA</t>
        </is>
      </c>
      <c r="E17" s="82">
        <f>SUMIFS('Ad Data'!$G$2:$G$6000,'Ad Data'!$C$2:$C$6000,$A17,'Ad Data'!$A$2:$A$6000,"&gt;="&amp;'KPI Calc'!$B$4,'Ad Data'!$A$2:$A$6000,"&lt;="&amp;'KPI Calc'!$C$4)</f>
        <v/>
      </c>
      <c r="F17" s="77">
        <f>SUMIFS('Ad Data'!$H$2:$H$6000,'Ad Data'!$C$2:$C$6000,$A17,'Ad Data'!$A$2:$A$6000,"&gt;="&amp;'KPI Calc'!$B$4,'Ad Data'!$A$2:$A$6000,"&lt;="&amp;'KPI Calc'!$C$4)</f>
        <v/>
      </c>
      <c r="G17" s="77">
        <f>SUMIFS('Ad Data'!$I$2:$I$6000,'Ad Data'!$C$2:$C$6000,$A17,'Ad Data'!$A$2:$A$6000,"&gt;="&amp;'KPI Calc'!$B$4,'Ad Data'!$A$2:$A$6000,"&lt;="&amp;'KPI Calc'!$C$4)</f>
        <v/>
      </c>
      <c r="H17" s="78">
        <f>IFERROR(G17/F17,0)</f>
        <v/>
      </c>
      <c r="I17" s="77">
        <f>SUMIFS('Ad Data'!$J$2:$J$6000,'Ad Data'!$C$2:$C$6000,$A17,'Ad Data'!$A$2:$A$6000,"&gt;="&amp;'KPI Calc'!$B$4,'Ad Data'!$A$2:$A$6000,"&lt;="&amp;'KPI Calc'!$C$4)</f>
        <v/>
      </c>
      <c r="J17" s="82">
        <f>SUMIFS('Ad Data'!$K$2:$K$6000,'Ad Data'!$C$2:$C$6000,$A17,'Ad Data'!$A$2:$A$6000,"&gt;="&amp;'KPI Calc'!$B$4,'Ad Data'!$A$2:$A$6000,"&lt;="&amp;'KPI Calc'!$C$4)</f>
        <v/>
      </c>
      <c r="K17" s="66">
        <f>IFERROR(J17/E17,0)</f>
        <v/>
      </c>
      <c r="L17" s="82">
        <f>IFERROR(E17/I17,0)</f>
        <v/>
      </c>
      <c r="M17" s="82">
        <f>IFERROR(J17/I17,0)</f>
        <v/>
      </c>
      <c r="N17" s="11">
        <f>IF(E17=0,"No spend in period",IF(K17&gt;=MAX('KPI Calc'!$B$35*1.3,0.01),"Scale — put more budget here",IF(K17&gt;='KPI Calc'!$B$35,"Working — maintain and refresh creative","Below breakeven — fix the page or cut it")))</f>
        <v/>
      </c>
    </row>
    <row r="18">
      <c r="A18" s="17" t="inlineStr"/>
      <c r="B18" s="81" t="n"/>
      <c r="C18" s="11" t="inlineStr"/>
      <c r="D18" s="11" t="inlineStr"/>
    </row>
  </sheetData>
  <mergeCells count="3">
    <mergeCell ref="A3:N3"/>
    <mergeCell ref="A2:N2"/>
    <mergeCell ref="A1:N1"/>
  </mergeCells>
  <conditionalFormatting sqref="N6:N18">
    <cfRule type="expression" priority="1" dxfId="3">
      <formula>ISNUMBER(SEARCH("Scale",$N6))</formula>
    </cfRule>
    <cfRule type="expression" priority="2" dxfId="5">
      <formula>ISNUMBER(SEARCH("Working",$N6))</formula>
    </cfRule>
    <cfRule type="expression" priority="3" dxfId="2">
      <formula>ISNUMBER(SEARCH("Below breakeven",$N6))</formula>
    </cfRule>
  </conditionalFormatting>
  <conditionalFormatting sqref="K6:K18">
    <cfRule type="colorScale" priority="4">
      <colorScale>
        <cfvo type="num" val="0"/>
        <cfvo type="num" val="2"/>
        <cfvo type="num" val="5"/>
        <color rgb="00FEE2E2"/>
        <color rgb="00FEF3C7"/>
        <color rgb="00DCFCE7"/>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5"/>
  <sheetViews>
    <sheetView showGridLines="0" workbookViewId="0">
      <selection activeCell="A1" sqref="A1"/>
    </sheetView>
  </sheetViews>
  <sheetFormatPr baseColWidth="8" defaultRowHeight="15"/>
  <cols>
    <col width="30" customWidth="1" min="1" max="1"/>
    <col width="13" customWidth="1" min="2" max="2"/>
    <col width="11" customWidth="1" min="3" max="3"/>
    <col width="11" customWidth="1" min="4" max="4"/>
    <col width="11" customWidth="1" min="5" max="5"/>
    <col width="11" customWidth="1" min="6" max="6"/>
    <col width="12" customWidth="1" min="7" max="7"/>
    <col width="62" customWidth="1" min="8" max="8"/>
  </cols>
  <sheetData>
    <row r="1" ht="26" customHeight="1">
      <c r="A1" s="23" t="inlineStr">
        <is>
          <t>Benchmarks</t>
        </is>
      </c>
    </row>
    <row r="2" ht="15" customHeight="1">
      <c r="A2" s="24" t="inlineStr">
        <is>
          <t>These thresholds decide every Status column in the kit. Retune them per account.</t>
        </is>
      </c>
    </row>
    <row r="3" ht="14" customHeight="1">
      <c r="A3" s="25" t="inlineStr">
        <is>
          <t>All amounts in EGP. Change the currency label on 'Start Here' after you copy this file.</t>
        </is>
      </c>
    </row>
    <row r="4" ht="20" customHeight="1">
      <c r="A4" s="83" t="inlineStr">
        <is>
          <t>⚠ The starting numbers below are placeholders so the status columns work on day one — they are not industry truth. Replace them with this client's own trailing 90-day range by month three. A benchmark you didn't measure is a guess, and clients can smell a guess.</t>
        </is>
      </c>
    </row>
    <row r="5" ht="18" customHeight="1"/>
    <row r="6">
      <c r="A6" s="63" t="inlineStr">
        <is>
          <t>Metric</t>
        </is>
      </c>
      <c r="B6" s="64" t="inlineStr">
        <is>
          <t>Your value</t>
        </is>
      </c>
      <c r="C6" s="64" t="inlineStr">
        <is>
          <t>Weak</t>
        </is>
      </c>
      <c r="D6" s="64" t="inlineStr">
        <is>
          <t>Watch</t>
        </is>
      </c>
      <c r="E6" s="64" t="inlineStr">
        <is>
          <t>Target</t>
        </is>
      </c>
      <c r="F6" s="64" t="inlineStr">
        <is>
          <t>Strong</t>
        </is>
      </c>
      <c r="G6" s="64" t="inlineStr">
        <is>
          <t>Status</t>
        </is>
      </c>
      <c r="H6" s="63" t="inlineStr">
        <is>
          <t>If it's below target, look here first</t>
        </is>
      </c>
    </row>
    <row r="7">
      <c r="A7" s="27" t="inlineStr">
        <is>
          <t>CPM</t>
        </is>
      </c>
      <c r="B7" s="65">
        <f>'KPI Calc'!B19</f>
        <v/>
      </c>
      <c r="C7" s="84" t="n">
        <v>140</v>
      </c>
      <c r="D7" s="84" t="n">
        <v>95</v>
      </c>
      <c r="E7" s="84" t="n">
        <v>72</v>
      </c>
      <c r="F7" s="84" t="n">
        <v>55</v>
      </c>
      <c r="G7" s="36">
        <f>IF($B7=0,"—",IF($B7&lt;=F7,"Strong",IF($B7&lt;=E7,"Target",IF($B7&lt;=D7,"Watch","Weak"))))</f>
        <v/>
      </c>
      <c r="H7" s="37" t="inlineStr">
        <is>
          <t>Auction pressure, audience saturation, or broad targeting diluting the mix.</t>
        </is>
      </c>
    </row>
    <row r="8">
      <c r="A8" s="27" t="inlineStr">
        <is>
          <t>CPC</t>
        </is>
      </c>
      <c r="B8" s="65">
        <f>'KPI Calc'!B20</f>
        <v/>
      </c>
      <c r="C8" s="84" t="n">
        <v>9</v>
      </c>
      <c r="D8" s="84" t="n">
        <v>6.5</v>
      </c>
      <c r="E8" s="84" t="n">
        <v>5</v>
      </c>
      <c r="F8" s="84" t="n">
        <v>3.5</v>
      </c>
      <c r="G8" s="36">
        <f>IF($B8=0,"—",IF($B8&lt;=F8,"Strong",IF($B8&lt;=E8,"Target",IF($B8&lt;=D8,"Watch","Weak"))))</f>
        <v/>
      </c>
      <c r="H8" s="37" t="inlineStr">
        <is>
          <t>Mostly CPM plus CTR. If CPC is high but CTR is fine, look at placement and audience.</t>
        </is>
      </c>
    </row>
    <row r="9">
      <c r="A9" s="27" t="inlineStr">
        <is>
          <t>CTR</t>
        </is>
      </c>
      <c r="B9" s="68">
        <f>'KPI Calc'!B21</f>
        <v/>
      </c>
      <c r="C9" s="76" t="n">
        <v>0.008</v>
      </c>
      <c r="D9" s="76" t="n">
        <v>0.012</v>
      </c>
      <c r="E9" s="76" t="n">
        <v>0.018</v>
      </c>
      <c r="F9" s="76" t="n">
        <v>0.028</v>
      </c>
      <c r="G9" s="36">
        <f>IF($B9=0,"—",IF($B9&gt;=F9,"Strong",IF($B9&gt;=E9,"Target",IF($B9&gt;=D9,"Watch","Weak"))))</f>
        <v/>
      </c>
      <c r="H9" s="37" t="inlineStr">
        <is>
          <t>The creative hook — first 3 seconds of video, first line of primary text.</t>
        </is>
      </c>
    </row>
    <row r="10">
      <c r="A10" s="27" t="inlineStr">
        <is>
          <t>Meta click to landing page</t>
        </is>
      </c>
      <c r="B10" s="68">
        <f>'KPI Calc'!B27</f>
        <v/>
      </c>
      <c r="C10" s="76" t="n">
        <v>0.45</v>
      </c>
      <c r="D10" s="76" t="n">
        <v>0.6</v>
      </c>
      <c r="E10" s="76" t="n">
        <v>0.72</v>
      </c>
      <c r="F10" s="76" t="n">
        <v>0.85</v>
      </c>
      <c r="G10" s="36">
        <f>IF($B10=0,"—",IF($B10&gt;=F10,"Strong",IF($B10&gt;=E10,"Target",IF($B10&gt;=D10,"Watch","Weak"))))</f>
        <v/>
      </c>
      <c r="H10" s="37" t="inlineStr">
        <is>
          <t>Page speed and mobile load. A technical problem wearing a media costume.</t>
        </is>
      </c>
    </row>
    <row r="11">
      <c r="A11" s="27" t="inlineStr">
        <is>
          <t>Click to add to cart</t>
        </is>
      </c>
      <c r="B11" s="68">
        <f>'KPI Calc'!B23</f>
        <v/>
      </c>
      <c r="C11" s="76" t="n">
        <v>0.03</v>
      </c>
      <c r="D11" s="76" t="n">
        <v>0.055</v>
      </c>
      <c r="E11" s="76" t="n">
        <v>0.08</v>
      </c>
      <c r="F11" s="76" t="n">
        <v>0.13</v>
      </c>
      <c r="G11" s="36">
        <f>IF($B11=0,"—",IF($B11&gt;=F11,"Strong",IF($B11&gt;=E11,"Target",IF($B11&gt;=D11,"Watch","Weak"))))</f>
        <v/>
      </c>
      <c r="H11" s="37" t="inlineStr">
        <is>
          <t>Product page: price positioning, imagery, reviews, delivery promise.</t>
        </is>
      </c>
    </row>
    <row r="12">
      <c r="A12" s="27" t="inlineStr">
        <is>
          <t>Add to cart to checkout</t>
        </is>
      </c>
      <c r="B12" s="68">
        <f>'KPI Calc'!B24</f>
        <v/>
      </c>
      <c r="C12" s="76" t="n">
        <v>0.18</v>
      </c>
      <c r="D12" s="76" t="n">
        <v>0.3</v>
      </c>
      <c r="E12" s="76" t="n">
        <v>0.45</v>
      </c>
      <c r="F12" s="76" t="n">
        <v>0.6</v>
      </c>
      <c r="G12" s="36">
        <f>IF($B12=0,"—",IF($B12&gt;=F12,"Strong",IF($B12&gt;=E12,"Target",IF($B12&gt;=D12,"Watch","Weak"))))</f>
        <v/>
      </c>
      <c r="H12" s="37" t="inlineStr">
        <is>
          <t>Shipping cost, surprise fees, forced account creation.</t>
        </is>
      </c>
    </row>
    <row r="13">
      <c r="A13" s="27" t="inlineStr">
        <is>
          <t>Checkout to purchase</t>
        </is>
      </c>
      <c r="B13" s="68">
        <f>'KPI Calc'!B25</f>
        <v/>
      </c>
      <c r="C13" s="76" t="n">
        <v>0.35</v>
      </c>
      <c r="D13" s="76" t="n">
        <v>0.5</v>
      </c>
      <c r="E13" s="76" t="n">
        <v>0.65</v>
      </c>
      <c r="F13" s="76" t="n">
        <v>0.78</v>
      </c>
      <c r="G13" s="36">
        <f>IF($B13=0,"—",IF($B13&gt;=F13,"Strong",IF($B13&gt;=E13,"Target",IF($B13&gt;=D13,"Watch","Weak"))))</f>
        <v/>
      </c>
      <c r="H13" s="37" t="inlineStr">
        <is>
          <t>Payment methods, cash on delivery, trust badges, retargeting coverage.</t>
        </is>
      </c>
    </row>
    <row r="14">
      <c r="A14" s="27" t="inlineStr">
        <is>
          <t>Click to purchase CVR</t>
        </is>
      </c>
      <c r="B14" s="68">
        <f>'KPI Calc'!B26</f>
        <v/>
      </c>
      <c r="C14" s="76" t="n">
        <v>0.008</v>
      </c>
      <c r="D14" s="76" t="n">
        <v>0.015</v>
      </c>
      <c r="E14" s="76" t="n">
        <v>0.025</v>
      </c>
      <c r="F14" s="76" t="n">
        <v>0.04</v>
      </c>
      <c r="G14" s="36">
        <f>IF($B14=0,"—",IF($B14&gt;=F14,"Strong",IF($B14&gt;=E14,"Target",IF($B14&gt;=D14,"Watch","Weak"))))</f>
        <v/>
      </c>
      <c r="H14" s="37" t="inlineStr">
        <is>
          <t>End-to-end site conversion on paid clicks. Compare to this account's own history.</t>
        </is>
      </c>
    </row>
    <row r="15">
      <c r="A15" s="27" t="inlineStr">
        <is>
          <t>Frequency</t>
        </is>
      </c>
      <c r="B15" s="85">
        <f>'KPI Calc'!B22</f>
        <v/>
      </c>
      <c r="C15" s="86" t="n">
        <v>5</v>
      </c>
      <c r="D15" s="86" t="n">
        <v>3.5</v>
      </c>
      <c r="E15" s="86" t="n">
        <v>2.4</v>
      </c>
      <c r="F15" s="86" t="n">
        <v>1.5</v>
      </c>
      <c r="G15" s="36">
        <f>IF($B15=0,"—",IF($B15&lt;=F15,"Strong",IF($B15&lt;=E15,"Target",IF($B15&lt;=D15,"Watch","Weak"))))</f>
        <v/>
      </c>
      <c r="H15" s="37" t="inlineStr">
        <is>
          <t>Creative fatigue. Above target, refresh assets before adding budget.</t>
        </is>
      </c>
    </row>
    <row r="16">
      <c r="A16" s="27" t="inlineStr">
        <is>
          <t>AOV</t>
        </is>
      </c>
      <c r="B16" s="65">
        <f>'KPI Calc'!B29</f>
        <v/>
      </c>
      <c r="C16" s="84" t="n">
        <v>450</v>
      </c>
      <c r="D16" s="84" t="n">
        <v>550</v>
      </c>
      <c r="E16" s="84" t="n">
        <v>650</v>
      </c>
      <c r="F16" s="84" t="n">
        <v>800</v>
      </c>
      <c r="G16" s="36">
        <f>IF($B16=0,"—",IF($B16&gt;=F16,"Strong",IF($B16&gt;=E16,"Target",IF($B16&gt;=D16,"Watch","Weak"))))</f>
        <v/>
      </c>
      <c r="H16" s="37" t="inlineStr">
        <is>
          <t>Placeholder ladder — replace with this account's own trailing range.</t>
        </is>
      </c>
    </row>
    <row r="17">
      <c r="A17" s="27" t="inlineStr">
        <is>
          <t>Revenue per 1,000 impressions</t>
        </is>
      </c>
      <c r="B17" s="65">
        <f>'KPI Calc'!B31</f>
        <v/>
      </c>
      <c r="C17" s="84" t="n">
        <v>80</v>
      </c>
      <c r="D17" s="84" t="n">
        <v>120</v>
      </c>
      <c r="E17" s="84" t="n">
        <v>170</v>
      </c>
      <c r="F17" s="84" t="n">
        <v>250</v>
      </c>
      <c r="G17" s="36">
        <f>IF($B17=0,"—",IF($B17&gt;=F17,"Strong",IF($B17&gt;=E17,"Target",IF($B17&gt;=D17,"Watch","Weak"))))</f>
        <v/>
      </c>
      <c r="H17" s="37" t="inlineStr">
        <is>
          <t>The cleanest single measure of end-to-end media efficiency.</t>
        </is>
      </c>
    </row>
    <row r="18">
      <c r="A18" s="27" t="inlineStr">
        <is>
          <t>ROAS</t>
        </is>
      </c>
      <c r="B18" s="66">
        <f>'KPI Calc'!B30</f>
        <v/>
      </c>
      <c r="C18" s="87" t="n">
        <v>1.5</v>
      </c>
      <c r="D18" s="87" t="n">
        <v>2</v>
      </c>
      <c r="E18" s="87" t="n">
        <v>2.6</v>
      </c>
      <c r="F18" s="87" t="n">
        <v>3.5</v>
      </c>
      <c r="G18" s="36">
        <f>IF($B18=0,"—",IF($B18&gt;=F18,"Strong",IF($B18&gt;=E18,"Target",IF($B18&gt;=D18,"Watch","Weak"))))</f>
        <v/>
      </c>
      <c r="H18" s="37" t="inlineStr">
        <is>
          <t>Never set a target below breakeven ROAS. Weak here sits below breakeven on purpose.</t>
        </is>
      </c>
    </row>
    <row r="19">
      <c r="A19" s="27" t="inlineStr">
        <is>
          <t>Breakeven ROAS</t>
        </is>
      </c>
      <c r="B19" s="66">
        <f>'KPI Calc'!B35</f>
        <v/>
      </c>
      <c r="C19" s="87" t="n">
        <v>3</v>
      </c>
      <c r="D19" s="87" t="n">
        <v>2.4</v>
      </c>
      <c r="E19" s="87" t="n">
        <v>2</v>
      </c>
      <c r="F19" s="87" t="n">
        <v>1.6</v>
      </c>
      <c r="G19" s="36">
        <f>IF($B19=0,"—",IF($B19&lt;=F19,"Strong",IF($B19&lt;=E19,"Target",IF($B19&lt;=D19,"Watch","Weak"))))</f>
        <v/>
      </c>
      <c r="H19" s="37" t="inlineStr">
        <is>
          <t>Calculated from the client's own margin inputs. Do not overwrite this row.</t>
        </is>
      </c>
    </row>
    <row r="20">
      <c r="A20" s="27" t="inlineStr">
        <is>
          <t>POAS (profit on ad spend)</t>
        </is>
      </c>
      <c r="B20" s="66">
        <f>'KPI Calc'!B37</f>
        <v/>
      </c>
      <c r="C20" s="87" t="n">
        <v>0</v>
      </c>
      <c r="D20" s="87" t="n">
        <v>0.15</v>
      </c>
      <c r="E20" s="87" t="n">
        <v>0.35</v>
      </c>
      <c r="F20" s="87" t="n">
        <v>0.6</v>
      </c>
      <c r="G20" s="36">
        <f>IF($B20=0,"—",IF($B20&gt;=F20,"Strong",IF($B20&gt;=E20,"Target",IF($B20&gt;=D20,"Watch","Weak"))))</f>
        <v/>
      </c>
      <c r="H20" s="37" t="inlineStr">
        <is>
          <t>Profit per unit of spend. The number to move once ROAS is acceptable.</t>
        </is>
      </c>
    </row>
    <row r="21">
      <c r="A21" s="27" t="inlineStr">
        <is>
          <t>Contribution margin %</t>
        </is>
      </c>
      <c r="B21" s="68">
        <f>'KPI Calc'!B33</f>
        <v/>
      </c>
      <c r="C21" s="76" t="n">
        <v>0.25</v>
      </c>
      <c r="D21" s="76" t="n">
        <v>0.35</v>
      </c>
      <c r="E21" s="76" t="n">
        <v>0.45</v>
      </c>
      <c r="F21" s="76" t="n">
        <v>0.55</v>
      </c>
      <c r="G21" s="36">
        <f>IF($B21=0,"—",IF($B21&gt;=F21,"Strong",IF($B21&gt;=E21,"Target",IF($B21&gt;=D21,"Watch","Weak"))))</f>
        <v/>
      </c>
      <c r="H21" s="37" t="inlineStr">
        <is>
          <t>Driven by the client's cost inputs on KPI Calc, cells J5:J7.</t>
        </is>
      </c>
    </row>
    <row r="23">
      <c r="A23" s="88" t="inlineStr">
        <is>
          <t>How status is decided</t>
        </is>
      </c>
    </row>
    <row r="24">
      <c r="A24" s="89" t="inlineStr">
        <is>
          <t>Higher is better (CTR, rates, AOV, ROAS, POAS): Strong ≥ F, Target ≥ E, Watch ≥ D, otherwise Weak.</t>
        </is>
      </c>
    </row>
    <row r="25">
      <c r="A25" s="89" t="inlineStr">
        <is>
          <t>Lower is better (CPM, CPC, Frequency, Breakeven ROAS): the same ladder, mirrored.</t>
        </is>
      </c>
    </row>
  </sheetData>
  <mergeCells count="4">
    <mergeCell ref="A3:H3"/>
    <mergeCell ref="A2:H2"/>
    <mergeCell ref="A4:H5"/>
    <mergeCell ref="A1:H1"/>
  </mergeCells>
  <conditionalFormatting sqref="G7:G21">
    <cfRule type="expression" priority="1" dxfId="3">
      <formula>$G7="Strong"</formula>
    </cfRule>
    <cfRule type="expression" priority="2" dxfId="3">
      <formula>$G7="Target"</formula>
    </cfRule>
    <cfRule type="expression" priority="3" dxfId="4">
      <formula>$G7="Watch"</formula>
    </cfRule>
    <cfRule type="expression" priority="4" dxfId="2">
      <formula>$G7="Weak"</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0"/>
  <sheetViews>
    <sheetView showGridLines="0" workbookViewId="0">
      <selection activeCell="A1" sqref="A1"/>
    </sheetView>
  </sheetViews>
  <sheetFormatPr baseColWidth="8" defaultRowHeight="15"/>
  <cols>
    <col width="46" customWidth="1" min="1" max="1"/>
    <col width="14" customWidth="1" min="2" max="2"/>
    <col width="74" customWidth="1" min="3" max="3"/>
    <col width="3" customWidth="1" min="4" max="4"/>
    <col width="34" customWidth="1" min="5" max="5"/>
    <col width="16" customWidth="1" min="6" max="6"/>
  </cols>
  <sheetData>
    <row r="1" ht="26" customHeight="1">
      <c r="A1" s="23" t="inlineStr">
        <is>
          <t>Health Check</t>
        </is>
      </c>
    </row>
    <row r="2" ht="15" customHeight="1">
      <c r="A2" s="24" t="inlineStr">
        <is>
          <t>Run this before anything goes to a client. Data errors look exactly like performance problems.</t>
        </is>
      </c>
    </row>
    <row r="5" ht="22" customHeight="1">
      <c r="A5" s="3" t="inlineStr">
        <is>
          <t xml:space="preserve">  DATA COVERAGE</t>
        </is>
      </c>
      <c r="B5" s="4" t="n"/>
      <c r="C5" s="4" t="n"/>
      <c r="E5" s="3" t="inlineStr">
        <is>
          <t xml:space="preserve">  WHAT COUNTS AS 'GOOD'</t>
        </is>
      </c>
      <c r="F5" s="4" t="n"/>
    </row>
    <row r="6">
      <c r="A6" s="27" t="inlineStr">
        <is>
          <t>Rows in the current period</t>
        </is>
      </c>
      <c r="B6" s="67">
        <f>COUNTIFS(Fundamentals!$A$2:$A$6000,"&gt;="&amp;'KPI Calc'!$B$4,Fundamentals!$A$2:$A$6000,"&lt;="&amp;'KPI Calc'!$C$4)</f>
        <v/>
      </c>
      <c r="C6" s="37" t="inlineStr">
        <is>
          <t>Zero here means your date cells and your data don't overlap. Start here.</t>
        </is>
      </c>
      <c r="E6" s="90" t="inlineStr">
        <is>
          <t>There is no universal good CPM.</t>
        </is>
      </c>
    </row>
    <row r="7">
      <c r="A7" s="27" t="inlineStr">
        <is>
          <t>Distinct days present</t>
        </is>
      </c>
      <c r="B7" s="67">
        <f>SUMPRODUCT((COUNTIFS(Fundamentals!$A$2:$A$6000,Fundamentals!$A$2:$A$6000,Fundamentals!$A$2:$A$6000,"&gt;="&amp;'KPI Calc'!$B$4,Fundamentals!$A$2:$A$6000,"&lt;="&amp;'KPI Calc'!$C$4)&gt;0)/COUNTIF(Fundamentals!$A$2:$A$6000,Fundamentals!$A$2:$A$6000&amp;""))</f>
        <v/>
      </c>
      <c r="C7" s="37" t="inlineStr">
        <is>
          <t>Should roughly equal the days in your period, per platform.</t>
        </is>
      </c>
      <c r="E7" s="9" t="inlineStr">
        <is>
          <t>A CPM of 180 EGP is excellent for one category and fatal for another. The status column in this file compares this account against thresholds you control — start with the placeholders, then replace them with this client's own 90-day trailing range. That is the only benchmark that survives a client asking "compared to what?"</t>
        </is>
      </c>
    </row>
    <row r="8">
      <c r="A8" s="27" t="inlineStr">
        <is>
          <t>Days in the period (calendar)</t>
        </is>
      </c>
      <c r="B8" s="67">
        <f>'KPI Calc'!$C$4-'KPI Calc'!$B$4+1</f>
        <v/>
      </c>
      <c r="C8" s="37" t="inlineStr">
        <is>
          <t>Compare with the row above. A big gap means missing sync days.</t>
        </is>
      </c>
    </row>
    <row r="9">
      <c r="A9" s="27" t="inlineStr">
        <is>
          <t>First date in the data</t>
        </is>
      </c>
      <c r="B9" s="91">
        <f>IFERROR(MIN(Fundamentals!$A$2:$A$6000),0)</f>
        <v/>
      </c>
      <c r="C9" s="37" t="inlineStr">
        <is>
          <t>Sanity-check the year.</t>
        </is>
      </c>
    </row>
    <row r="10">
      <c r="A10" s="27" t="inlineStr">
        <is>
          <t>Last date in the data</t>
        </is>
      </c>
      <c r="B10" s="91">
        <f>IFERROR(MAX(Fundamentals!$A$2:$A$6000),0)</f>
        <v/>
      </c>
      <c r="C10" s="37" t="inlineStr">
        <is>
          <t>Should be yesterday or today if the pipeline is healthy.</t>
        </is>
      </c>
    </row>
    <row r="11">
      <c r="A11" s="27" t="inlineStr">
        <is>
          <t>Meta rows in period</t>
        </is>
      </c>
      <c r="B11" s="67">
        <f>COUNTIFS(Fundamentals!$A$2:$A$6000,"&gt;="&amp;'KPI Calc'!$B$4,Fundamentals!$A$2:$A$6000,"&lt;="&amp;'KPI Calc'!$C$4,Fundamentals!$B$2:$B$6000,"Meta")</f>
        <v/>
      </c>
      <c r="C11" s="37" t="inlineStr"/>
    </row>
    <row r="12">
      <c r="A12" s="27" t="inlineStr">
        <is>
          <t>TikTok rows in period</t>
        </is>
      </c>
      <c r="B12" s="67">
        <f>COUNTIFS(Fundamentals!$A$2:$A$6000,"&gt;="&amp;'KPI Calc'!$B$4,Fundamentals!$A$2:$A$6000,"&lt;="&amp;'KPI Calc'!$C$4,Fundamentals!$B$2:$B$6000,"TikTok")</f>
        <v/>
      </c>
      <c r="C12" s="37" t="inlineStr"/>
    </row>
    <row r="13"/>
    <row r="14"/>
    <row r="15" ht="22" customHeight="1">
      <c r="A15" s="3" t="inlineStr">
        <is>
          <t xml:space="preserve">  CHECKS  —  red means fix the DATA, not the campaign</t>
        </is>
      </c>
      <c r="B15" s="4" t="n"/>
      <c r="C15" s="4" t="n"/>
    </row>
    <row r="16">
      <c r="A16" s="30" t="inlineStr">
        <is>
          <t>Check</t>
        </is>
      </c>
      <c r="B16" s="31" t="inlineStr">
        <is>
          <t>Status</t>
        </is>
      </c>
      <c r="C16" s="30" t="inlineStr">
        <is>
          <t>Why it matters</t>
        </is>
      </c>
    </row>
    <row r="17">
      <c r="A17" s="27" t="inlineStr">
        <is>
          <t>Data exists for the selected period</t>
        </is>
      </c>
      <c r="B17" s="92">
        <f>IF('KPI Calc'!$B$10&gt;0,"OK","FIX")</f>
        <v/>
      </c>
      <c r="C17" s="37" t="inlineStr">
        <is>
          <t>No impressions in the period means the date cells are wrong.</t>
        </is>
      </c>
    </row>
    <row r="18">
      <c r="A18" s="27" t="inlineStr">
        <is>
          <t>Clicks never exceed impressions</t>
        </is>
      </c>
      <c r="B18" s="92">
        <f>IF('KPI Calc'!$B$12&gt;'KPI Calc'!$B$10,"FIX","OK")</f>
        <v/>
      </c>
      <c r="C18" s="37" t="inlineStr">
        <is>
          <t>A clicks &gt; impressions read almost always means the wrong click column was pulled.</t>
        </is>
      </c>
    </row>
    <row r="19">
      <c r="A19" s="27" t="inlineStr">
        <is>
          <t>Purchases never exceed clicks</t>
        </is>
      </c>
      <c r="B19" s="92">
        <f>IF('KPI Calc'!$B$16&gt;'KPI Calc'!$B$12,"FIX","OK")</f>
        <v/>
      </c>
      <c r="C19" s="37" t="inlineStr">
        <is>
          <t>Either a view-through-heavy attribution window or mismatched date ranges.</t>
        </is>
      </c>
    </row>
    <row r="20">
      <c r="A20" s="27" t="inlineStr">
        <is>
          <t>Add to cart never exceeds clicks</t>
        </is>
      </c>
      <c r="B20" s="92">
        <f>IF('KPI Calc'!$B$14&gt;'KPI Calc'!$B$12,"CHECK","OK")</f>
        <v/>
      </c>
      <c r="C20" s="37" t="inlineStr">
        <is>
          <t>Cross-platform ATC can exceed clicks if windows differ between platforms.</t>
        </is>
      </c>
    </row>
    <row r="21">
      <c r="A21" s="27" t="inlineStr">
        <is>
          <t>Reach never exceeds impressions</t>
        </is>
      </c>
      <c r="B21" s="92">
        <f>IF('KPI Calc'!$B$11&gt;'KPI Calc'!$B$10,"FIX","OK")</f>
        <v/>
      </c>
      <c r="C21" s="37" t="inlineStr">
        <is>
          <t>Reach is deduplicated, so this is a hard rule.</t>
        </is>
      </c>
    </row>
    <row r="22">
      <c r="A22" s="27" t="inlineStr">
        <is>
          <t>Revenue is present</t>
        </is>
      </c>
      <c r="B22" s="92">
        <f>IF('KPI Calc'!$B$17&lt;=0,"FIX","OK")</f>
        <v/>
      </c>
      <c r="C22" s="37" t="inlineStr">
        <is>
          <t>Without purchase value there is no ROAS, no AOV and no story to tell.</t>
        </is>
      </c>
    </row>
    <row r="23">
      <c r="A23" s="27" t="inlineStr">
        <is>
          <t>Ad spend reconciles to ad-level spend</t>
        </is>
      </c>
      <c r="B23" s="92">
        <f>IF(ABS(SUM('Ad Data'!$G$2:$G$6000)-'KPI Calc'!$B$9)/MAX(1,'KPI Calc'!$B$9)&gt;0.05,"CHECK","OK")</f>
        <v/>
      </c>
      <c r="C23" s="37" t="inlineStr">
        <is>
          <t>More than 5% apart means the ad-level export is incomplete or a different date range.</t>
        </is>
      </c>
    </row>
    <row r="24">
      <c r="A24" s="27" t="inlineStr">
        <is>
          <t>Ad-level purchases reconcile</t>
        </is>
      </c>
      <c r="B24" s="92">
        <f>IF(ABS(SUM('Ad Data'!$J$2:$J$6000)-'KPI Calc'!$B$16)/MAX(1,'KPI Calc'!$B$16)&gt;0.08,"CHECK","OK")</f>
        <v/>
      </c>
      <c r="C24" s="37" t="inlineStr">
        <is>
          <t>Ad-level and account-level purchase counts should be close.</t>
        </is>
      </c>
    </row>
    <row r="25">
      <c r="A25" s="27" t="inlineStr">
        <is>
          <t>Business inputs are filled in</t>
        </is>
      </c>
      <c r="B25" s="92">
        <f>IF(OR('KPI Calc'!$J$5&lt;=0,'KPI Calc'!$J$7&lt;=0),"FIX","OK")</f>
        <v/>
      </c>
      <c r="C25" s="37" t="inlineStr">
        <is>
          <t>COGS % and shipping per order drive every profit number in the kit.</t>
        </is>
      </c>
    </row>
    <row r="26">
      <c r="A26" s="27" t="inlineStr">
        <is>
          <t>Contribution margin is plausible</t>
        </is>
      </c>
      <c r="B26" s="92">
        <f>IF(OR('KPI Calc'!$B$33&lt;=0,'KPI Calc'!$B$33&gt;=1),"CHECK","OK")</f>
        <v/>
      </c>
      <c r="C26" s="37" t="inlineStr">
        <is>
          <t>A margin outside 0–100% means a cost input is wrong.</t>
        </is>
      </c>
    </row>
    <row r="27">
      <c r="A27" s="27" t="inlineStr">
        <is>
          <t>No blank platforms in Fundamentals</t>
        </is>
      </c>
      <c r="B27" s="92">
        <f>IF(COUNTIFS(Fundamentals!$B$2:$B$6000,"")&gt;1,"CHECK","OK")</f>
        <v/>
      </c>
      <c r="C27" s="37" t="inlineStr">
        <is>
          <t>Blank platform cells break the platform split on the Dashboard.</t>
        </is>
      </c>
    </row>
    <row r="28">
      <c r="A28" s="27" t="inlineStr">
        <is>
          <t>Benchmarks retuned for this account</t>
        </is>
      </c>
      <c r="B28" s="92">
        <f>IF(Benchmarks!$D$16=0,"CHECK","OK")</f>
        <v/>
      </c>
      <c r="C28" s="37" t="inlineStr">
        <is>
          <t>Until you replace the placeholder thresholds, every Status column is a guess.</t>
        </is>
      </c>
    </row>
    <row r="30" ht="28" customHeight="1">
      <c r="A30" s="93">
        <f>IF(COUNTIF(B17:B28,"FIX")&gt;0,"⛔ "&amp;COUNTIF(B17:B28,"FIX")&amp;" check(s) need fixing before you report these numbers.",IF(COUNTIF(B17:B28,"CHECK")&gt;0,"⚠ "&amp;COUNTIF(B17:B28,"CHECK")&amp;" thing(s) to verify. They are usually benign — but verify them.","✅ All "&amp;COUNTA(B17:B28)&amp;" checks passed. This data is safe to report."))</f>
        <v/>
      </c>
      <c r="B30" s="58" t="n"/>
      <c r="C30" s="58" t="n"/>
    </row>
  </sheetData>
  <mergeCells count="7">
    <mergeCell ref="A2:F2"/>
    <mergeCell ref="A5:C5"/>
    <mergeCell ref="A1:F1"/>
    <mergeCell ref="E7:F20"/>
    <mergeCell ref="E5:F5"/>
    <mergeCell ref="A30:C30"/>
    <mergeCell ref="A15:C15"/>
  </mergeCells>
  <conditionalFormatting sqref="B17:B28">
    <cfRule type="expression" priority="1" dxfId="6">
      <formula>B17="FIX"</formula>
    </cfRule>
    <cfRule type="expression" priority="2" dxfId="7">
      <formula>B17="CHECK"</formula>
    </cfRule>
    <cfRule type="expression" priority="3" dxfId="8">
      <formula>B17="OK"</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2026-10-13T20:26:43Z</dcterms:created>
  <dcterms:modified xsi:type="dcterms:W3CDTF">2026-10-13T20:26:43Z</dcterms:modified>
</cp:coreProperties>
</file>